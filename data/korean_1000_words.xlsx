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<sst xmlns="http://schemas.openxmlformats.org/spreadsheetml/2006/main" count="1002" uniqueCount="1002">
  <si>
    <t>Korean</t>
  </si>
  <si>
    <t>English</t>
  </si>
  <si>
    <t>것</t>
  </si>
  <si>
    <t>하다</t>
  </si>
  <si>
    <t>있다</t>
  </si>
  <si>
    <t>되다</t>
  </si>
  <si>
    <t>나</t>
  </si>
  <si>
    <t>없다</t>
  </si>
  <si>
    <t>사람</t>
  </si>
  <si>
    <t>우리</t>
  </si>
  <si>
    <t>아니다</t>
  </si>
  <si>
    <t>같다</t>
  </si>
  <si>
    <t>대하다</t>
  </si>
  <si>
    <t>년</t>
  </si>
  <si>
    <t>때문</t>
  </si>
  <si>
    <t>말하다</t>
  </si>
  <si>
    <t>위하다</t>
  </si>
  <si>
    <t>그러나</t>
  </si>
  <si>
    <t>알다</t>
  </si>
  <si>
    <t>그렇다</t>
  </si>
  <si>
    <t>또</t>
  </si>
  <si>
    <t>사회</t>
  </si>
  <si>
    <t>많다</t>
  </si>
  <si>
    <t>좋다</t>
  </si>
  <si>
    <t>더</t>
  </si>
  <si>
    <t>받다</t>
  </si>
  <si>
    <t>그것</t>
  </si>
  <si>
    <t>집</t>
  </si>
  <si>
    <t>나오다</t>
  </si>
  <si>
    <t>그리고</t>
  </si>
  <si>
    <t>문제</t>
  </si>
  <si>
    <t>그런</t>
  </si>
  <si>
    <t>살다</t>
  </si>
  <si>
    <t>생각하다</t>
  </si>
  <si>
    <t>모르다</t>
  </si>
  <si>
    <t>속</t>
  </si>
  <si>
    <t>만들다</t>
  </si>
  <si>
    <t>데</t>
  </si>
  <si>
    <t>두</t>
  </si>
  <si>
    <t>앞</t>
  </si>
  <si>
    <t>경우</t>
  </si>
  <si>
    <t>중</t>
  </si>
  <si>
    <t>어떤</t>
  </si>
  <si>
    <t>잘</t>
  </si>
  <si>
    <t>그녀</t>
  </si>
  <si>
    <t>오다</t>
  </si>
  <si>
    <t>문화</t>
  </si>
  <si>
    <t>생각</t>
  </si>
  <si>
    <t>어떻다</t>
  </si>
  <si>
    <t>명</t>
  </si>
  <si>
    <t>통하다</t>
  </si>
  <si>
    <t>그러다</t>
  </si>
  <si>
    <t>소리</t>
  </si>
  <si>
    <t>다시</t>
  </si>
  <si>
    <t>다른</t>
  </si>
  <si>
    <t>이런</t>
  </si>
  <si>
    <t>여자</t>
  </si>
  <si>
    <t>정도</t>
  </si>
  <si>
    <t>뒤</t>
  </si>
  <si>
    <t>듣다</t>
  </si>
  <si>
    <t>좀</t>
  </si>
  <si>
    <t>싶다</t>
  </si>
  <si>
    <t>함께</t>
  </si>
  <si>
    <t>지나다</t>
  </si>
  <si>
    <t>많이</t>
  </si>
  <si>
    <t>너</t>
  </si>
  <si>
    <t>주다</t>
  </si>
  <si>
    <t>인간</t>
  </si>
  <si>
    <t>이렇다</t>
  </si>
  <si>
    <t>어머니</t>
  </si>
  <si>
    <t>의하다</t>
  </si>
  <si>
    <t>시대</t>
  </si>
  <si>
    <t>다음</t>
  </si>
  <si>
    <t>이러하다</t>
  </si>
  <si>
    <t>누구</t>
  </si>
  <si>
    <t>곳</t>
  </si>
  <si>
    <t>여러</t>
  </si>
  <si>
    <t>세계</t>
  </si>
  <si>
    <t>운동</t>
  </si>
  <si>
    <t>퍼센트</t>
  </si>
  <si>
    <t>학교</t>
  </si>
  <si>
    <t>대통령</t>
  </si>
  <si>
    <t>시작하다</t>
  </si>
  <si>
    <t>바로</t>
  </si>
  <si>
    <t>어느</t>
  </si>
  <si>
    <t>무엇</t>
  </si>
  <si>
    <t>정부</t>
  </si>
  <si>
    <t>모든</t>
  </si>
  <si>
    <t>번</t>
  </si>
  <si>
    <t>그거</t>
  </si>
  <si>
    <t>돈</t>
  </si>
  <si>
    <t>국가</t>
  </si>
  <si>
    <t>그런데</t>
  </si>
  <si>
    <t>날</t>
  </si>
  <si>
    <t>여기</t>
  </si>
  <si>
    <t>여성</t>
  </si>
  <si>
    <t>친구</t>
  </si>
  <si>
    <t>마음</t>
  </si>
  <si>
    <t>후</t>
  </si>
  <si>
    <t>가다</t>
  </si>
  <si>
    <t>관계</t>
  </si>
  <si>
    <t>아버지</t>
  </si>
  <si>
    <t>남자</t>
  </si>
  <si>
    <t>몸</t>
  </si>
  <si>
    <t>얼굴</t>
  </si>
  <si>
    <t>들어가다</t>
  </si>
  <si>
    <t>왜</t>
  </si>
  <si>
    <t>나타나다</t>
  </si>
  <si>
    <t>지역</t>
  </si>
  <si>
    <t>다르다</t>
  </si>
  <si>
    <t>모습</t>
  </si>
  <si>
    <t>물</t>
  </si>
  <si>
    <t>만나다</t>
  </si>
  <si>
    <t>보이다</t>
  </si>
  <si>
    <t>이것</t>
  </si>
  <si>
    <t>없이</t>
  </si>
  <si>
    <t>이번</t>
  </si>
  <si>
    <t>길</t>
  </si>
  <si>
    <t>생활</t>
  </si>
  <si>
    <t>뿐</t>
  </si>
  <si>
    <t>사이</t>
  </si>
  <si>
    <t>방법</t>
  </si>
  <si>
    <t>새롭다</t>
  </si>
  <si>
    <t>우리나라</t>
  </si>
  <si>
    <t>내다</t>
  </si>
  <si>
    <t>앉다</t>
  </si>
  <si>
    <t>처음</t>
  </si>
  <si>
    <t>손</t>
  </si>
  <si>
    <t>그때</t>
  </si>
  <si>
    <t>삶</t>
  </si>
  <si>
    <t>찾다</t>
  </si>
  <si>
    <t>특히</t>
  </si>
  <si>
    <t>지금</t>
  </si>
  <si>
    <t>이야기</t>
  </si>
  <si>
    <t>교육</t>
  </si>
  <si>
    <t>사다</t>
  </si>
  <si>
    <t>경제</t>
  </si>
  <si>
    <t>아직</t>
  </si>
  <si>
    <t>잡다</t>
  </si>
  <si>
    <t>같이</t>
  </si>
  <si>
    <t>선생님</t>
  </si>
  <si>
    <t>예술</t>
  </si>
  <si>
    <t>서다</t>
  </si>
  <si>
    <t>역사</t>
  </si>
  <si>
    <t>읽다</t>
  </si>
  <si>
    <t>결과</t>
  </si>
  <si>
    <t>내용</t>
  </si>
  <si>
    <t>동안</t>
  </si>
  <si>
    <t>책</t>
  </si>
  <si>
    <t>일어나다</t>
  </si>
  <si>
    <t>당신</t>
  </si>
  <si>
    <t>넣다</t>
  </si>
  <si>
    <t>중요하다</t>
  </si>
  <si>
    <t>무슨</t>
  </si>
  <si>
    <t>느끼다</t>
  </si>
  <si>
    <t>어렵다</t>
  </si>
  <si>
    <t>힘</t>
  </si>
  <si>
    <t>너무</t>
  </si>
  <si>
    <t>나라</t>
  </si>
  <si>
    <t>의미</t>
  </si>
  <si>
    <t>밝히다</t>
  </si>
  <si>
    <t>이미</t>
  </si>
  <si>
    <t>정치</t>
  </si>
  <si>
    <t>국민</t>
  </si>
  <si>
    <t>생명</t>
  </si>
  <si>
    <t>얘기</t>
  </si>
  <si>
    <t>학생</t>
  </si>
  <si>
    <t>연구</t>
  </si>
  <si>
    <t>엄마</t>
  </si>
  <si>
    <t>이름</t>
  </si>
  <si>
    <t>하나</t>
  </si>
  <si>
    <t>내리다</t>
  </si>
  <si>
    <t>사건</t>
  </si>
  <si>
    <t>및</t>
  </si>
  <si>
    <t>쉽다</t>
  </si>
  <si>
    <t>짓다</t>
  </si>
  <si>
    <t>또한</t>
  </si>
  <si>
    <t>이유</t>
  </si>
  <si>
    <t>또는</t>
  </si>
  <si>
    <t>필요하다</t>
  </si>
  <si>
    <t>글</t>
  </si>
  <si>
    <t>생기다</t>
  </si>
  <si>
    <t>사용하다</t>
  </si>
  <si>
    <t>남편</t>
  </si>
  <si>
    <t>들어오다</t>
  </si>
  <si>
    <t>밖</t>
  </si>
  <si>
    <t>세상</t>
  </si>
  <si>
    <t>작다</t>
  </si>
  <si>
    <t>대학</t>
  </si>
  <si>
    <t>작품</t>
  </si>
  <si>
    <t>상황</t>
  </si>
  <si>
    <t>가운데</t>
  </si>
  <si>
    <t>보내다</t>
  </si>
  <si>
    <t>즉</t>
  </si>
  <si>
    <t>따라서</t>
  </si>
  <si>
    <t>상태</t>
  </si>
  <si>
    <t>이후</t>
  </si>
  <si>
    <t>당시</t>
  </si>
  <si>
    <t>문학</t>
  </si>
  <si>
    <t>더욱</t>
  </si>
  <si>
    <t>아주</t>
  </si>
  <si>
    <t>높다</t>
  </si>
  <si>
    <t>최근</t>
  </si>
  <si>
    <t>현실</t>
  </si>
  <si>
    <t>환경</t>
  </si>
  <si>
    <t>컴퓨터</t>
  </si>
  <si>
    <t>먼저</t>
  </si>
  <si>
    <t>다니다</t>
  </si>
  <si>
    <t>얼마나</t>
  </si>
  <si>
    <t>자체</t>
  </si>
  <si>
    <t>열다</t>
  </si>
  <si>
    <t>머리</t>
  </si>
  <si>
    <t>남다</t>
  </si>
  <si>
    <t>부분</t>
  </si>
  <si>
    <t>기업</t>
  </si>
  <si>
    <t>거기</t>
  </si>
  <si>
    <t>변화</t>
  </si>
  <si>
    <t>아들</t>
  </si>
  <si>
    <t>뜻</t>
  </si>
  <si>
    <t>아</t>
  </si>
  <si>
    <t>기다리다</t>
  </si>
  <si>
    <t>떨어지다</t>
  </si>
  <si>
    <t>선거</t>
  </si>
  <si>
    <t>관하다</t>
  </si>
  <si>
    <t>그냥</t>
  </si>
  <si>
    <t>나누다</t>
  </si>
  <si>
    <t>이용하다</t>
  </si>
  <si>
    <t>거의</t>
  </si>
  <si>
    <t>곧</t>
  </si>
  <si>
    <t>중심</t>
  </si>
  <si>
    <t>활동</t>
  </si>
  <si>
    <t>관심</t>
  </si>
  <si>
    <t>역시</t>
  </si>
  <si>
    <t>이거</t>
  </si>
  <si>
    <t>광고</t>
  </si>
  <si>
    <t>나다</t>
  </si>
  <si>
    <t>방</t>
  </si>
  <si>
    <t>정신</t>
  </si>
  <si>
    <t>땅</t>
  </si>
  <si>
    <t>이루다</t>
  </si>
  <si>
    <t>아침</t>
  </si>
  <si>
    <t>웃다</t>
  </si>
  <si>
    <t>현상</t>
  </si>
  <si>
    <t>두다</t>
  </si>
  <si>
    <t>떠나다</t>
  </si>
  <si>
    <t>기술</t>
  </si>
  <si>
    <t>전체</t>
  </si>
  <si>
    <t>얻다</t>
  </si>
  <si>
    <t>아름답다</t>
  </si>
  <si>
    <t>끝</t>
  </si>
  <si>
    <t>민족</t>
  </si>
  <si>
    <t>조사</t>
  </si>
  <si>
    <t>듯</t>
  </si>
  <si>
    <t>입</t>
  </si>
  <si>
    <t>뭐</t>
  </si>
  <si>
    <t>그대로</t>
  </si>
  <si>
    <t>영화</t>
  </si>
  <si>
    <t>필요</t>
  </si>
  <si>
    <t>하늘</t>
  </si>
  <si>
    <t>년대</t>
  </si>
  <si>
    <t>과학</t>
  </si>
  <si>
    <t>듯하다</t>
  </si>
  <si>
    <t>자연</t>
  </si>
  <si>
    <t>구조</t>
  </si>
  <si>
    <t>결국</t>
  </si>
  <si>
    <t>밥</t>
  </si>
  <si>
    <t>입다</t>
  </si>
  <si>
    <t>오히려</t>
  </si>
  <si>
    <t>프로그램</t>
  </si>
  <si>
    <t>이루어지다</t>
  </si>
  <si>
    <t>하루</t>
  </si>
  <si>
    <t>그림</t>
  </si>
  <si>
    <t>마시다</t>
  </si>
  <si>
    <t>혼자</t>
  </si>
  <si>
    <t>나가다</t>
  </si>
  <si>
    <t>이제</t>
  </si>
  <si>
    <t>교수</t>
  </si>
  <si>
    <t>사랑</t>
  </si>
  <si>
    <t>전화</t>
  </si>
  <si>
    <t>끝나다</t>
  </si>
  <si>
    <t>돌아오다</t>
  </si>
  <si>
    <t>아빠</t>
  </si>
  <si>
    <t>걸리다</t>
  </si>
  <si>
    <t>지키다</t>
  </si>
  <si>
    <t>한번</t>
  </si>
  <si>
    <t>커피</t>
  </si>
  <si>
    <t>가슴</t>
  </si>
  <si>
    <t>길다</t>
  </si>
  <si>
    <t>바라보다</t>
  </si>
  <si>
    <t>알아보다</t>
  </si>
  <si>
    <t>회사</t>
  </si>
  <si>
    <t>맛</t>
  </si>
  <si>
    <t>대부분</t>
  </si>
  <si>
    <t>산업</t>
  </si>
  <si>
    <t>매우</t>
  </si>
  <si>
    <t>오르다</t>
  </si>
  <si>
    <t>음식</t>
  </si>
  <si>
    <t>표정</t>
  </si>
  <si>
    <t>일부</t>
  </si>
  <si>
    <t>요즘</t>
  </si>
  <si>
    <t>계획</t>
  </si>
  <si>
    <t>느낌</t>
  </si>
  <si>
    <t>얼마</t>
  </si>
  <si>
    <t>성격</t>
  </si>
  <si>
    <t>계속</t>
  </si>
  <si>
    <t>세기</t>
  </si>
  <si>
    <t>세우다</t>
  </si>
  <si>
    <t>아내</t>
  </si>
  <si>
    <t>가족</t>
  </si>
  <si>
    <t>놓다</t>
  </si>
  <si>
    <t>놀다</t>
  </si>
  <si>
    <t>향하다</t>
  </si>
  <si>
    <t>관련</t>
  </si>
  <si>
    <t>형태</t>
  </si>
  <si>
    <t>각</t>
  </si>
  <si>
    <t>도시</t>
  </si>
  <si>
    <t>작업</t>
  </si>
  <si>
    <t>분위기</t>
  </si>
  <si>
    <t>그러하다</t>
  </si>
  <si>
    <t>자기</t>
  </si>
  <si>
    <t>나이</t>
  </si>
  <si>
    <t>우선</t>
  </si>
  <si>
    <t>믿다</t>
  </si>
  <si>
    <t>바꾸다</t>
  </si>
  <si>
    <t>낳다</t>
  </si>
  <si>
    <t>정보</t>
  </si>
  <si>
    <t>좋아하다</t>
  </si>
  <si>
    <t>그리다</t>
  </si>
  <si>
    <t>만큼</t>
  </si>
  <si>
    <t>배우다</t>
  </si>
  <si>
    <t>역할</t>
  </si>
  <si>
    <t>옆</t>
  </si>
  <si>
    <t>행동</t>
  </si>
  <si>
    <t>어</t>
  </si>
  <si>
    <t>국내</t>
  </si>
  <si>
    <t>비하다</t>
  </si>
  <si>
    <t>기관</t>
  </si>
  <si>
    <t>입장</t>
  </si>
  <si>
    <t>만하다</t>
  </si>
  <si>
    <t>아래</t>
  </si>
  <si>
    <t>방식</t>
  </si>
  <si>
    <t>영향</t>
  </si>
  <si>
    <t>나서다</t>
  </si>
  <si>
    <t>흐르다</t>
  </si>
  <si>
    <t>깊다</t>
  </si>
  <si>
    <t>내</t>
  </si>
  <si>
    <t>산</t>
  </si>
  <si>
    <t>하지만</t>
  </si>
  <si>
    <t>조건</t>
  </si>
  <si>
    <t>문</t>
  </si>
  <si>
    <t>꽃</t>
  </si>
  <si>
    <t>단계</t>
  </si>
  <si>
    <t>올리다</t>
  </si>
  <si>
    <t>그동안</t>
  </si>
  <si>
    <t>교사</t>
  </si>
  <si>
    <t>갑자기</t>
  </si>
  <si>
    <t>넘다</t>
  </si>
  <si>
    <t>지니다</t>
  </si>
  <si>
    <t>잘하다</t>
  </si>
  <si>
    <t>마을</t>
  </si>
  <si>
    <t>대표</t>
  </si>
  <si>
    <t>가능성</t>
  </si>
  <si>
    <t>방향</t>
  </si>
  <si>
    <t>대회</t>
  </si>
  <si>
    <t>목소리</t>
  </si>
  <si>
    <t>노래</t>
  </si>
  <si>
    <t>바다</t>
  </si>
  <si>
    <t>힘들다</t>
  </si>
  <si>
    <t>공부</t>
  </si>
  <si>
    <t>움직이다</t>
  </si>
  <si>
    <t>의원</t>
  </si>
  <si>
    <t>노력</t>
  </si>
  <si>
    <t>전혀</t>
  </si>
  <si>
    <t>언니</t>
  </si>
  <si>
    <t>단체</t>
  </si>
  <si>
    <t>분</t>
  </si>
  <si>
    <t>알려지다</t>
  </si>
  <si>
    <t>가능하다</t>
  </si>
  <si>
    <t>능력</t>
  </si>
  <si>
    <t>주장하다</t>
  </si>
  <si>
    <t>자식</t>
  </si>
  <si>
    <t>돌리다</t>
  </si>
  <si>
    <t>불</t>
  </si>
  <si>
    <t>주민</t>
  </si>
  <si>
    <t>모으다</t>
  </si>
  <si>
    <t>자료</t>
  </si>
  <si>
    <t>존재</t>
  </si>
  <si>
    <t>학년</t>
  </si>
  <si>
    <t>신문</t>
  </si>
  <si>
    <t>가지다</t>
  </si>
  <si>
    <t>이해하다</t>
  </si>
  <si>
    <t>제품</t>
  </si>
  <si>
    <t>분야</t>
  </si>
  <si>
    <t>선생</t>
  </si>
  <si>
    <t>돌아가다</t>
  </si>
  <si>
    <t>사업</t>
  </si>
  <si>
    <t>행위</t>
  </si>
  <si>
    <t>수준</t>
  </si>
  <si>
    <t>지난해</t>
  </si>
  <si>
    <t>표현</t>
  </si>
  <si>
    <t>기분</t>
  </si>
  <si>
    <t>젊다</t>
  </si>
  <si>
    <t>동시</t>
  </si>
  <si>
    <t>옷</t>
  </si>
  <si>
    <t>순간</t>
  </si>
  <si>
    <t>전쟁</t>
  </si>
  <si>
    <t>꿈</t>
  </si>
  <si>
    <t>할머니</t>
  </si>
  <si>
    <t>방송</t>
  </si>
  <si>
    <t>이야기하다</t>
  </si>
  <si>
    <t>나무</t>
  </si>
  <si>
    <t>자다</t>
  </si>
  <si>
    <t>연극</t>
  </si>
  <si>
    <t>오늘</t>
  </si>
  <si>
    <t>마찬가지</t>
  </si>
  <si>
    <t>노동</t>
  </si>
  <si>
    <t>이때</t>
  </si>
  <si>
    <t>가치</t>
  </si>
  <si>
    <t>시간</t>
  </si>
  <si>
    <t>집단</t>
  </si>
  <si>
    <t>현대</t>
  </si>
  <si>
    <t>살펴보다</t>
  </si>
  <si>
    <t>장관</t>
  </si>
  <si>
    <t>차이</t>
  </si>
  <si>
    <t>풀다</t>
  </si>
  <si>
    <t>시절</t>
  </si>
  <si>
    <t>물건</t>
  </si>
  <si>
    <t>개인</t>
  </si>
  <si>
    <t>근데</t>
  </si>
  <si>
    <t>발</t>
  </si>
  <si>
    <t>작가</t>
  </si>
  <si>
    <t>효과</t>
  </si>
  <si>
    <t>불교</t>
  </si>
  <si>
    <t>끌다</t>
  </si>
  <si>
    <t>대로</t>
  </si>
  <si>
    <t>빨리</t>
  </si>
  <si>
    <t>시작되다</t>
  </si>
  <si>
    <t>둘</t>
  </si>
  <si>
    <t>설명하다</t>
  </si>
  <si>
    <t>우주</t>
  </si>
  <si>
    <t>마치</t>
  </si>
  <si>
    <t>생산</t>
  </si>
  <si>
    <t>바라다</t>
  </si>
  <si>
    <t>강하다</t>
  </si>
  <si>
    <t>경험</t>
  </si>
  <si>
    <t>음악</t>
  </si>
  <si>
    <t>최고</t>
  </si>
  <si>
    <t>나타내다</t>
  </si>
  <si>
    <t>아프다</t>
  </si>
  <si>
    <t>고향</t>
  </si>
  <si>
    <t>놀라다</t>
  </si>
  <si>
    <t>다양하다</t>
  </si>
  <si>
    <t>울다</t>
  </si>
  <si>
    <t>농민</t>
  </si>
  <si>
    <t>드러나다</t>
  </si>
  <si>
    <t>은행</t>
  </si>
  <si>
    <t>지내다</t>
  </si>
  <si>
    <t>결혼</t>
  </si>
  <si>
    <t>동생</t>
  </si>
  <si>
    <t>소설</t>
  </si>
  <si>
    <t>오후</t>
  </si>
  <si>
    <t>질서</t>
  </si>
  <si>
    <t>담다</t>
  </si>
  <si>
    <t>모이다</t>
  </si>
  <si>
    <t>시민</t>
  </si>
  <si>
    <t>회장</t>
  </si>
  <si>
    <t>빠르다</t>
  </si>
  <si>
    <t>아기</t>
  </si>
  <si>
    <t>아저씨</t>
  </si>
  <si>
    <t>옛날</t>
  </si>
  <si>
    <t>이날</t>
  </si>
  <si>
    <t>제대로</t>
  </si>
  <si>
    <t>던지다</t>
  </si>
  <si>
    <t>공간</t>
  </si>
  <si>
    <t>이곳</t>
  </si>
  <si>
    <t>딸</t>
  </si>
  <si>
    <t>마지막</t>
  </si>
  <si>
    <t>벌이다</t>
  </si>
  <si>
    <t>병원</t>
  </si>
  <si>
    <t>자세</t>
  </si>
  <si>
    <t>강조하다</t>
  </si>
  <si>
    <t>경찰</t>
  </si>
  <si>
    <t>저녁</t>
  </si>
  <si>
    <t>그러면</t>
  </si>
  <si>
    <t>기자</t>
  </si>
  <si>
    <t>넓다</t>
  </si>
  <si>
    <t>시험</t>
  </si>
  <si>
    <t>잠</t>
  </si>
  <si>
    <t>주로</t>
  </si>
  <si>
    <t>훨씬</t>
  </si>
  <si>
    <t>통일</t>
  </si>
  <si>
    <t>들어서다</t>
  </si>
  <si>
    <t>건강</t>
  </si>
  <si>
    <t>가깝다</t>
  </si>
  <si>
    <t>건물</t>
  </si>
  <si>
    <t>시설</t>
  </si>
  <si>
    <t>외국</t>
  </si>
  <si>
    <t>밑</t>
  </si>
  <si>
    <t>어른</t>
  </si>
  <si>
    <t>주변</t>
  </si>
  <si>
    <t>대신</t>
  </si>
  <si>
    <t>원인</t>
  </si>
  <si>
    <t>팔다</t>
  </si>
  <si>
    <t>차례</t>
  </si>
  <si>
    <t>열심히</t>
  </si>
  <si>
    <t>일하다</t>
  </si>
  <si>
    <t>재산</t>
  </si>
  <si>
    <t>팀</t>
  </si>
  <si>
    <t>부모</t>
  </si>
  <si>
    <t>언어</t>
  </si>
  <si>
    <t>요구하다</t>
  </si>
  <si>
    <t>올라가다</t>
  </si>
  <si>
    <t>첫</t>
  </si>
  <si>
    <t>감독</t>
  </si>
  <si>
    <t>그날</t>
  </si>
  <si>
    <t>사실</t>
  </si>
  <si>
    <t>자주</t>
  </si>
  <si>
    <t>당하다</t>
  </si>
  <si>
    <t>삼다</t>
  </si>
  <si>
    <t>기간</t>
  </si>
  <si>
    <t>담배</t>
  </si>
  <si>
    <t>일으키다</t>
  </si>
  <si>
    <t>일단</t>
  </si>
  <si>
    <t>할아버지</t>
  </si>
  <si>
    <t>조직</t>
  </si>
  <si>
    <t>태어나다</t>
  </si>
  <si>
    <t>공장</t>
  </si>
  <si>
    <t>벌써</t>
  </si>
  <si>
    <t>즐기다</t>
  </si>
  <si>
    <t>지</t>
  </si>
  <si>
    <t>환자</t>
  </si>
  <si>
    <t>변하다</t>
  </si>
  <si>
    <t>그래도</t>
  </si>
  <si>
    <t>아무리</t>
  </si>
  <si>
    <t>맞추다</t>
  </si>
  <si>
    <t>쌀</t>
  </si>
  <si>
    <t>일반</t>
  </si>
  <si>
    <t>재미있다</t>
  </si>
  <si>
    <t>가르치다</t>
  </si>
  <si>
    <t>대화</t>
  </si>
  <si>
    <t>막다</t>
  </si>
  <si>
    <t>올해</t>
  </si>
  <si>
    <t>달리</t>
  </si>
  <si>
    <t>버리다</t>
  </si>
  <si>
    <t>붙이다</t>
  </si>
  <si>
    <t>인물</t>
  </si>
  <si>
    <t>늘</t>
  </si>
  <si>
    <t>모두</t>
  </si>
  <si>
    <t>전국</t>
  </si>
  <si>
    <t>마치다</t>
  </si>
  <si>
    <t>전</t>
  </si>
  <si>
    <t>다만</t>
  </si>
  <si>
    <t>도움</t>
  </si>
  <si>
    <t>걸다</t>
  </si>
  <si>
    <t>멀다</t>
  </si>
  <si>
    <t>버스</t>
  </si>
  <si>
    <t>오늘날</t>
  </si>
  <si>
    <t>농업</t>
  </si>
  <si>
    <t>대다</t>
  </si>
  <si>
    <t>식</t>
  </si>
  <si>
    <t>의견</t>
  </si>
  <si>
    <t>무대</t>
  </si>
  <si>
    <t>사진</t>
  </si>
  <si>
    <t>주장</t>
  </si>
  <si>
    <t>표현하다</t>
  </si>
  <si>
    <t>인하다</t>
  </si>
  <si>
    <t>이상하다</t>
  </si>
  <si>
    <t>제일</t>
  </si>
  <si>
    <t>붙다</t>
  </si>
  <si>
    <t>아마</t>
  </si>
  <si>
    <t>얘기하다</t>
  </si>
  <si>
    <t>잇다</t>
  </si>
  <si>
    <t>조금</t>
  </si>
  <si>
    <t>목적</t>
  </si>
  <si>
    <t>태도</t>
  </si>
  <si>
    <t>남성</t>
  </si>
  <si>
    <t>주위</t>
  </si>
  <si>
    <t>대책</t>
  </si>
  <si>
    <t>그만</t>
  </si>
  <si>
    <t>발생하다</t>
  </si>
  <si>
    <t>재료</t>
  </si>
  <si>
    <t>결코</t>
  </si>
  <si>
    <t>옮기다</t>
  </si>
  <si>
    <t>항상</t>
  </si>
  <si>
    <t>잃다</t>
  </si>
  <si>
    <t>자유</t>
  </si>
  <si>
    <t>책임</t>
  </si>
  <si>
    <t>바뀌다</t>
  </si>
  <si>
    <t>비슷하다</t>
  </si>
  <si>
    <t>심하다</t>
  </si>
  <si>
    <t>경쟁</t>
  </si>
  <si>
    <t>사랑하다</t>
  </si>
  <si>
    <t>여름</t>
  </si>
  <si>
    <t>자라다</t>
  </si>
  <si>
    <t>회</t>
  </si>
  <si>
    <t>구체적</t>
  </si>
  <si>
    <t>기회</t>
  </si>
  <si>
    <t>실시하다</t>
  </si>
  <si>
    <t>번째</t>
  </si>
  <si>
    <t>소비자</t>
  </si>
  <si>
    <t>싫다</t>
  </si>
  <si>
    <t>규모</t>
  </si>
  <si>
    <t>기준</t>
  </si>
  <si>
    <t>반드시</t>
  </si>
  <si>
    <t>셈</t>
  </si>
  <si>
    <t>갖추다</t>
  </si>
  <si>
    <t>그러니까</t>
  </si>
  <si>
    <t>받아들이다</t>
  </si>
  <si>
    <t>값</t>
  </si>
  <si>
    <t>현장</t>
  </si>
  <si>
    <t>건설</t>
  </si>
  <si>
    <t>꺼내다</t>
  </si>
  <si>
    <t>노동자</t>
  </si>
  <si>
    <t>동네</t>
  </si>
  <si>
    <t>언제나</t>
  </si>
  <si>
    <t>완전히</t>
  </si>
  <si>
    <t>자동차</t>
  </si>
  <si>
    <t>전하다</t>
  </si>
  <si>
    <t>존재하다</t>
  </si>
  <si>
    <t>개월</t>
  </si>
  <si>
    <t>별로</t>
  </si>
  <si>
    <t>어린이</t>
  </si>
  <si>
    <t>정하다</t>
  </si>
  <si>
    <t>한마디</t>
  </si>
  <si>
    <t>유지하다</t>
  </si>
  <si>
    <t>이데올로기</t>
  </si>
  <si>
    <t>공부하다</t>
  </si>
  <si>
    <t>대중</t>
  </si>
  <si>
    <t>늘어나다</t>
  </si>
  <si>
    <t>닦다</t>
  </si>
  <si>
    <t>말씀</t>
  </si>
  <si>
    <t>괜찮다</t>
  </si>
  <si>
    <t>눈물</t>
  </si>
  <si>
    <t>각종</t>
  </si>
  <si>
    <t>빛</t>
  </si>
  <si>
    <t>아니</t>
  </si>
  <si>
    <t>피하다</t>
  </si>
  <si>
    <t>거치다</t>
  </si>
  <si>
    <t>나아가다</t>
  </si>
  <si>
    <t>야</t>
  </si>
  <si>
    <t>지식</t>
  </si>
  <si>
    <t>현재</t>
  </si>
  <si>
    <t>여전히</t>
  </si>
  <si>
    <t>주인</t>
  </si>
  <si>
    <t>발견하다</t>
  </si>
  <si>
    <t>선</t>
  </si>
  <si>
    <t>인류</t>
  </si>
  <si>
    <t>특징</t>
  </si>
  <si>
    <t>선수</t>
  </si>
  <si>
    <t>형식</t>
  </si>
  <si>
    <t>마련하다</t>
  </si>
  <si>
    <t>발표하다</t>
  </si>
  <si>
    <t>주제</t>
  </si>
  <si>
    <t>걸치다</t>
  </si>
  <si>
    <t>겪다</t>
  </si>
  <si>
    <t>관점</t>
  </si>
  <si>
    <t>귀</t>
  </si>
  <si>
    <t>기본</t>
  </si>
  <si>
    <t>미터</t>
  </si>
  <si>
    <t>사라지다</t>
  </si>
  <si>
    <t>어떠하다</t>
  </si>
  <si>
    <t>감정</t>
  </si>
  <si>
    <t>기억</t>
  </si>
  <si>
    <t>놈</t>
  </si>
  <si>
    <t>인기</t>
  </si>
  <si>
    <t>아파트</t>
  </si>
  <si>
    <t>가끔</t>
  </si>
  <si>
    <t>구성</t>
  </si>
  <si>
    <t>술</t>
  </si>
  <si>
    <t>실제로</t>
  </si>
  <si>
    <t>짧다</t>
  </si>
  <si>
    <t>고맙다</t>
  </si>
  <si>
    <t>그곳</t>
  </si>
  <si>
    <t>보다</t>
  </si>
  <si>
    <t>비롯하다</t>
  </si>
  <si>
    <t>과연</t>
  </si>
  <si>
    <t>들리다</t>
  </si>
  <si>
    <t>바쁘다</t>
  </si>
  <si>
    <t>이전</t>
  </si>
  <si>
    <t>인정하다</t>
  </si>
  <si>
    <t>중앙</t>
  </si>
  <si>
    <t>나쁘다</t>
  </si>
  <si>
    <t>불구하다</t>
  </si>
  <si>
    <t>시키다</t>
  </si>
  <si>
    <t>게임</t>
  </si>
  <si>
    <t>국제</t>
  </si>
  <si>
    <t>그룹</t>
  </si>
  <si>
    <t>인생</t>
  </si>
  <si>
    <t>전통</t>
  </si>
  <si>
    <t>기르다</t>
  </si>
  <si>
    <t>잔</t>
  </si>
  <si>
    <t>조사하다</t>
  </si>
  <si>
    <t>커다랗다</t>
  </si>
  <si>
    <t>시인</t>
  </si>
  <si>
    <t>외</t>
  </si>
  <si>
    <t>평가</t>
  </si>
  <si>
    <t>내려오다</t>
  </si>
  <si>
    <t>위치</t>
  </si>
  <si>
    <t>줄이다</t>
  </si>
  <si>
    <t>가격</t>
  </si>
  <si>
    <t>달라지다</t>
  </si>
  <si>
    <t>비다</t>
  </si>
  <si>
    <t>삼국</t>
  </si>
  <si>
    <t>손님</t>
  </si>
  <si>
    <t>원하다</t>
  </si>
  <si>
    <t>통신</t>
  </si>
  <si>
    <t>확인하다</t>
  </si>
  <si>
    <t>모임</t>
  </si>
  <si>
    <t>아무</t>
  </si>
  <si>
    <t>웃음</t>
  </si>
  <si>
    <t>기계</t>
  </si>
  <si>
    <t>모양</t>
  </si>
  <si>
    <t>물질</t>
  </si>
  <si>
    <t>아나운서</t>
  </si>
  <si>
    <t>뉴스</t>
  </si>
  <si>
    <t>살아가다</t>
  </si>
  <si>
    <t>펴다</t>
  </si>
  <si>
    <t>겨울</t>
  </si>
  <si>
    <t>종교</t>
  </si>
  <si>
    <t>층</t>
  </si>
  <si>
    <t>자연스럽다</t>
  </si>
  <si>
    <t>돌다</t>
  </si>
  <si>
    <t>식사</t>
  </si>
  <si>
    <t>안다</t>
  </si>
  <si>
    <t>잊다</t>
  </si>
  <si>
    <t>제시하다</t>
  </si>
  <si>
    <t>반</t>
  </si>
  <si>
    <t>불과하다</t>
  </si>
  <si>
    <t>혹은</t>
  </si>
  <si>
    <t>엄청나다</t>
  </si>
  <si>
    <t>텔레비전</t>
  </si>
  <si>
    <t>파악하다</t>
  </si>
  <si>
    <t>실천</t>
  </si>
  <si>
    <t>노력하다</t>
  </si>
  <si>
    <t>보호</t>
  </si>
  <si>
    <t>씻다</t>
  </si>
  <si>
    <t>한편</t>
  </si>
  <si>
    <t>이웃</t>
  </si>
  <si>
    <t>편지</t>
  </si>
  <si>
    <t>공동</t>
  </si>
  <si>
    <t>까닭</t>
  </si>
  <si>
    <t>방안</t>
  </si>
  <si>
    <t>센티미터</t>
  </si>
  <si>
    <t>분명하다</t>
  </si>
  <si>
    <t>분석</t>
  </si>
  <si>
    <t>소녀</t>
  </si>
  <si>
    <t>지나가다</t>
  </si>
  <si>
    <t>상품</t>
  </si>
  <si>
    <t>설명</t>
  </si>
  <si>
    <t>훌륭하다</t>
  </si>
  <si>
    <t>관계자</t>
  </si>
  <si>
    <t>새로</t>
  </si>
  <si>
    <t>이어지다</t>
  </si>
  <si>
    <t>티브이</t>
  </si>
  <si>
    <t>봄</t>
  </si>
  <si>
    <t>종류</t>
  </si>
  <si>
    <t>낮다</t>
  </si>
  <si>
    <t>어깨</t>
  </si>
  <si>
    <t>지적하다</t>
  </si>
  <si>
    <t>부부</t>
  </si>
  <si>
    <t>오래</t>
  </si>
  <si>
    <t>요구</t>
  </si>
  <si>
    <t>키우다</t>
  </si>
  <si>
    <t>눕다</t>
  </si>
  <si>
    <t>발달하다</t>
  </si>
  <si>
    <t>발전하다</t>
  </si>
  <si>
    <t>여행</t>
  </si>
  <si>
    <t>죽음</t>
  </si>
  <si>
    <t>고통</t>
  </si>
  <si>
    <t>등장하다</t>
  </si>
  <si>
    <t>공</t>
  </si>
  <si>
    <t>듯이</t>
  </si>
  <si>
    <t>어울리다</t>
  </si>
  <si>
    <t>오월</t>
  </si>
  <si>
    <t>알리다</t>
  </si>
  <si>
    <t>멀리</t>
  </si>
  <si>
    <t>빼다</t>
  </si>
  <si>
    <t>예정</t>
  </si>
  <si>
    <t>오빠</t>
  </si>
  <si>
    <t>즐겁다</t>
  </si>
  <si>
    <t>한계</t>
  </si>
  <si>
    <t>흔히</t>
  </si>
  <si>
    <t>바탕</t>
  </si>
  <si>
    <t>사월</t>
  </si>
  <si>
    <t>싸우다</t>
  </si>
  <si>
    <t>언제</t>
  </si>
  <si>
    <t>예쁘다</t>
  </si>
  <si>
    <t>갈등</t>
  </si>
  <si>
    <t>느껴지다</t>
  </si>
  <si>
    <t>의지</t>
  </si>
  <si>
    <t>전문</t>
  </si>
  <si>
    <t>정확하다</t>
  </si>
  <si>
    <t>초기</t>
  </si>
  <si>
    <t>나중</t>
  </si>
  <si>
    <t>맛있다</t>
  </si>
  <si>
    <t>며칠</t>
  </si>
  <si>
    <t>신경</t>
  </si>
  <si>
    <t>찾아오다</t>
  </si>
  <si>
    <t>미</t>
  </si>
  <si>
    <t>사용</t>
  </si>
  <si>
    <t>시선</t>
  </si>
  <si>
    <t>아무런</t>
  </si>
  <si>
    <t>언론</t>
  </si>
  <si>
    <t>투자</t>
  </si>
  <si>
    <t>지원</t>
  </si>
  <si>
    <t>결정하다</t>
  </si>
  <si>
    <t>경영</t>
  </si>
  <si>
    <t>목표</t>
  </si>
  <si>
    <t>성장</t>
  </si>
  <si>
    <t>숲</t>
  </si>
  <si>
    <t>없어지다</t>
  </si>
  <si>
    <t>작년</t>
  </si>
  <si>
    <t>내려가다</t>
  </si>
  <si>
    <t>떠오르다</t>
  </si>
  <si>
    <t>새벽</t>
  </si>
  <si>
    <t>쓰레기</t>
  </si>
  <si>
    <t>얼른</t>
  </si>
  <si>
    <t>피해</t>
  </si>
  <si>
    <t>무섭다</t>
  </si>
  <si>
    <t>직장</t>
  </si>
  <si>
    <t>참다</t>
  </si>
  <si>
    <t>크기</t>
  </si>
  <si>
    <t>고기</t>
  </si>
  <si>
    <t>남기다</t>
  </si>
  <si>
    <t>서양</t>
  </si>
  <si>
    <t>주요</t>
  </si>
  <si>
    <t>가져오다</t>
  </si>
  <si>
    <t>냄새</t>
  </si>
  <si>
    <t>부드럽다</t>
  </si>
  <si>
    <t>여기다</t>
  </si>
  <si>
    <t>공연</t>
  </si>
  <si>
    <t>남녀</t>
  </si>
  <si>
    <t>내놓다</t>
  </si>
  <si>
    <t>떼다</t>
  </si>
  <si>
    <t>만들어지다</t>
  </si>
  <si>
    <t>속도</t>
  </si>
  <si>
    <t>심각하다</t>
  </si>
  <si>
    <t>준비</t>
  </si>
  <si>
    <t>계속되다</t>
  </si>
  <si>
    <t>구월</t>
  </si>
  <si>
    <t>맑다</t>
  </si>
  <si>
    <t>소년</t>
  </si>
  <si>
    <t>소식</t>
  </si>
  <si>
    <t>유월</t>
  </si>
  <si>
    <t>작용</t>
  </si>
  <si>
    <t>허리</t>
  </si>
  <si>
    <t>골</t>
  </si>
  <si>
    <t>공업</t>
  </si>
  <si>
    <t>그중</t>
  </si>
  <si>
    <t>노인</t>
  </si>
  <si>
    <t>벌다</t>
  </si>
  <si>
    <t>살리다</t>
  </si>
  <si>
    <t>영어</t>
  </si>
  <si>
    <t>출신</t>
  </si>
  <si>
    <t>결정</t>
  </si>
  <si>
    <t>경향</t>
  </si>
  <si>
    <t>기록</t>
  </si>
  <si>
    <t>나름</t>
  </si>
  <si>
    <t>대답하다</t>
  </si>
  <si>
    <t>반면</t>
  </si>
  <si>
    <t>썰다</t>
  </si>
  <si>
    <t>움직임</t>
  </si>
  <si>
    <t>이미지</t>
  </si>
  <si>
    <t>터지다</t>
  </si>
  <si>
    <t>특성</t>
  </si>
  <si>
    <t>교장</t>
  </si>
  <si>
    <t>벗다</t>
  </si>
  <si>
    <t>업무</t>
  </si>
  <si>
    <t>입시</t>
  </si>
  <si>
    <t>준비하다</t>
  </si>
  <si>
    <t>청소년</t>
  </si>
  <si>
    <t>돕다</t>
  </si>
  <si>
    <t>응</t>
  </si>
  <si>
    <t>이기다</t>
  </si>
  <si>
    <t>찾아보다</t>
  </si>
  <si>
    <t>다루다</t>
  </si>
  <si>
    <t>달</t>
  </si>
  <si>
    <t>사장</t>
  </si>
  <si>
    <t>삼월</t>
  </si>
  <si>
    <t>그렇지만</t>
  </si>
  <si>
    <t>선배</t>
  </si>
  <si>
    <t>업체</t>
  </si>
  <si>
    <t>키</t>
  </si>
  <si>
    <t>국회</t>
  </si>
  <si>
    <t>그러므로</t>
  </si>
  <si>
    <t>포함하다</t>
  </si>
  <si>
    <t>걱정</t>
  </si>
  <si>
    <t>결혼하다</t>
  </si>
  <si>
    <t>만약</t>
  </si>
  <si>
    <t>세월</t>
  </si>
  <si>
    <t>숨</t>
  </si>
  <si>
    <t>깨닫다</t>
  </si>
  <si>
    <t>누나</t>
  </si>
  <si>
    <t>왕</t>
  </si>
  <si>
    <t>점점</t>
  </si>
  <si>
    <t>질문</t>
  </si>
  <si>
    <t>특별</t>
  </si>
  <si>
    <t>판단</t>
  </si>
  <si>
    <t>해결하다</t>
  </si>
  <si>
    <t>계속하다</t>
  </si>
  <si>
    <t>그치다</t>
  </si>
  <si>
    <t>근처</t>
  </si>
  <si>
    <t>너무나</t>
  </si>
  <si>
    <t>높이다</t>
  </si>
  <si>
    <t>부정</t>
  </si>
  <si>
    <t>사정</t>
  </si>
  <si>
    <t>도대체</t>
  </si>
  <si>
    <t>부모님</t>
  </si>
  <si>
    <t>수출</t>
  </si>
  <si>
    <t>그</t>
  </si>
  <si>
    <t>자르다</t>
  </si>
  <si>
    <t>데리다</t>
  </si>
  <si>
    <t>마리</t>
  </si>
  <si>
    <t>무척</t>
  </si>
  <si>
    <t>비용</t>
  </si>
  <si>
    <t>비행기</t>
  </si>
  <si>
    <t>옳다</t>
  </si>
  <si>
    <t>원래</t>
  </si>
  <si>
    <t>처리</t>
  </si>
  <si>
    <t>최초</t>
  </si>
  <si>
    <t>꼴</t>
  </si>
  <si>
    <t>놀이</t>
  </si>
  <si>
    <t>뜨겁다</t>
  </si>
  <si>
    <t>뿌리</t>
  </si>
  <si>
    <t>그리하여</t>
  </si>
  <si>
    <t>낮</t>
  </si>
  <si>
    <t>일찍</t>
  </si>
  <si>
    <t>직원</t>
  </si>
  <si>
    <t>찍다</t>
  </si>
  <si>
    <t>가볍다</t>
  </si>
  <si>
    <t>내부</t>
  </si>
  <si>
    <t>다소</t>
  </si>
  <si>
    <t>상대</t>
  </si>
  <si>
    <t>오전</t>
  </si>
  <si>
    <t>피부</t>
  </si>
  <si>
    <t>가게</t>
  </si>
  <si>
    <t>가득</t>
  </si>
  <si>
    <t>그저</t>
  </si>
  <si>
    <t>벽</t>
  </si>
  <si>
    <t>장군</t>
  </si>
  <si>
    <t>무역</t>
  </si>
  <si>
    <t>부담</t>
  </si>
  <si>
    <t>약속</t>
  </si>
  <si>
    <t>줄</t>
  </si>
  <si>
    <t>쳐다보다</t>
  </si>
  <si>
    <t>충분히</t>
  </si>
  <si>
    <t>신체</t>
  </si>
  <si>
    <t>에너지</t>
  </si>
  <si>
    <t>위원</t>
  </si>
  <si>
    <t>정리하다</t>
  </si>
  <si>
    <t>집안</t>
  </si>
  <si>
    <t>배경</t>
  </si>
  <si>
    <t>죽이다</t>
  </si>
  <si>
    <t>단순하다</t>
  </si>
  <si>
    <t>반대</t>
  </si>
  <si>
    <t>법칙</t>
  </si>
  <si>
    <t>빠지다</t>
  </si>
  <si>
    <t>소금</t>
  </si>
  <si>
    <t>오염</t>
  </si>
  <si>
    <t>자전거</t>
  </si>
  <si>
    <t>참여하다</t>
  </si>
  <si>
    <t>탓</t>
  </si>
  <si>
    <t>푸르다</t>
  </si>
  <si>
    <t>그래</t>
  </si>
  <si>
    <t>목</t>
  </si>
  <si>
    <t>발표</t>
  </si>
  <si>
    <t>범죄</t>
  </si>
  <si>
    <t>흔들다</t>
  </si>
  <si>
    <t>기초</t>
  </si>
  <si>
    <t>논리</t>
  </si>
  <si>
    <t>드라마</t>
  </si>
  <si>
    <t>뽑다</t>
  </si>
  <si>
    <t>피우다</t>
  </si>
  <si>
    <t>감각</t>
  </si>
  <si>
    <t>미리</t>
  </si>
  <si>
    <t>부족하다</t>
  </si>
  <si>
    <t>저희</t>
  </si>
  <si>
    <t>진행되다</t>
  </si>
  <si>
    <t>교통</t>
  </si>
  <si>
    <t>법</t>
  </si>
  <si>
    <t>오랜</t>
  </si>
  <si>
    <t>젊은이</t>
  </si>
  <si>
    <t>후보</t>
  </si>
  <si>
    <t>과제</t>
  </si>
  <si>
    <t>근거</t>
  </si>
  <si>
    <t>기록하다</t>
  </si>
  <si>
    <t>다가오다</t>
  </si>
  <si>
    <t>불다</t>
  </si>
  <si>
    <t>이끌다</t>
  </si>
  <si>
    <t>종합</t>
  </si>
  <si>
    <t>한글</t>
  </si>
  <si>
    <t>가을</t>
  </si>
  <si>
    <t>개발하다</t>
  </si>
  <si>
    <t>떨다</t>
  </si>
  <si>
    <t>손가락</t>
  </si>
  <si>
    <t>수단</t>
  </si>
  <si>
    <t>자유롭다</t>
  </si>
  <si>
    <t>적극적</t>
  </si>
  <si>
    <t>판매</t>
  </si>
  <si>
    <t>형성</t>
  </si>
  <si>
    <t>기울이다</t>
  </si>
  <si>
    <t>길이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</si>
</sst>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</cols>
  <sheetData>
    <row r="1">
      <c r="A1" s="1" t="s">
        <v>0</v>
      </c>
      <c r="B1" s="1" t="s">
        <v>1</v>
      </c>
    </row>
    <row r="2">
      <c r="A2" s="1" t="s">
        <v>2</v>
      </c>
      <c r="B2" s="2" t="str">
        <f>IFERROR(__xludf.DUMMYFUNCTION("GOOGLETRANSLATE(A2,""ko"",""en"")"),"thing")</f>
        <v>thing</v>
      </c>
    </row>
    <row r="3">
      <c r="A3" s="1" t="s">
        <v>3</v>
      </c>
      <c r="B3" s="2" t="str">
        <f>IFERROR(__xludf.DUMMYFUNCTION("GOOGLETRANSLATE(A3,""ko"",""en"")"),"do")</f>
        <v>do</v>
      </c>
    </row>
    <row r="4">
      <c r="A4" s="1" t="s">
        <v>4</v>
      </c>
      <c r="B4" s="2" t="str">
        <f>IFERROR(__xludf.DUMMYFUNCTION("GOOGLETRANSLATE(A4,""ko"",""en"")"),"there is")</f>
        <v>there is</v>
      </c>
    </row>
    <row r="5">
      <c r="A5" s="1" t="s">
        <v>5</v>
      </c>
      <c r="B5" s="2" t="str">
        <f>IFERROR(__xludf.DUMMYFUNCTION("GOOGLETRANSLATE(A5,""ko"",""en"")"),"become")</f>
        <v>become</v>
      </c>
    </row>
    <row r="6">
      <c r="A6" s="1" t="s">
        <v>6</v>
      </c>
      <c r="B6" s="2" t="str">
        <f>IFERROR(__xludf.DUMMYFUNCTION("GOOGLETRANSLATE(A6,""ko"",""en"")"),"me")</f>
        <v>me</v>
      </c>
    </row>
    <row r="7">
      <c r="A7" s="1" t="s">
        <v>7</v>
      </c>
      <c r="B7" s="2" t="str">
        <f>IFERROR(__xludf.DUMMYFUNCTION("GOOGLETRANSLATE(A7,""ko"",""en"")"),"does not exist")</f>
        <v>does not exist</v>
      </c>
    </row>
    <row r="8">
      <c r="A8" s="1" t="s">
        <v>8</v>
      </c>
      <c r="B8" s="2" t="str">
        <f>IFERROR(__xludf.DUMMYFUNCTION("GOOGLETRANSLATE(A8,""ko"",""en"")"),"person")</f>
        <v>person</v>
      </c>
    </row>
    <row r="9">
      <c r="A9" s="1" t="s">
        <v>9</v>
      </c>
      <c r="B9" s="2" t="str">
        <f>IFERROR(__xludf.DUMMYFUNCTION("GOOGLETRANSLATE(A9,""ko"",""en"")"),"we")</f>
        <v>we</v>
      </c>
    </row>
    <row r="10">
      <c r="A10" s="1" t="s">
        <v>10</v>
      </c>
      <c r="B10" s="2" t="str">
        <f>IFERROR(__xludf.DUMMYFUNCTION("GOOGLETRANSLATE(A10,""ko"",""en"")"),"no")</f>
        <v>no</v>
      </c>
    </row>
    <row r="11">
      <c r="A11" s="1" t="s">
        <v>11</v>
      </c>
      <c r="B11" s="2" t="str">
        <f>IFERROR(__xludf.DUMMYFUNCTION("GOOGLETRANSLATE(A11,""ko"",""en"")"),"Same")</f>
        <v>Same</v>
      </c>
    </row>
    <row r="12">
      <c r="A12" s="1" t="s">
        <v>12</v>
      </c>
      <c r="B12" s="2" t="str">
        <f>IFERROR(__xludf.DUMMYFUNCTION("GOOGLETRANSLATE(A12,""ko"",""en"")"),"subtend")</f>
        <v>subtend</v>
      </c>
    </row>
    <row r="13">
      <c r="A13" s="1" t="s">
        <v>13</v>
      </c>
      <c r="B13" s="2" t="str">
        <f>IFERROR(__xludf.DUMMYFUNCTION("GOOGLETRANSLATE(A13,""ko"",""en"")"),"year")</f>
        <v>year</v>
      </c>
    </row>
    <row r="14">
      <c r="A14" s="1" t="s">
        <v>14</v>
      </c>
      <c r="B14" s="2" t="str">
        <f>IFERROR(__xludf.DUMMYFUNCTION("GOOGLETRANSLATE(A14,""ko"",""en"")"),"Because")</f>
        <v>Because</v>
      </c>
    </row>
    <row r="15">
      <c r="A15" s="1" t="s">
        <v>15</v>
      </c>
      <c r="B15" s="2" t="str">
        <f>IFERROR(__xludf.DUMMYFUNCTION("GOOGLETRANSLATE(A15,""ko"",""en"")"),"say")</f>
        <v>say</v>
      </c>
    </row>
    <row r="16">
      <c r="A16" s="1" t="s">
        <v>16</v>
      </c>
      <c r="B16" s="2" t="str">
        <f>IFERROR(__xludf.DUMMYFUNCTION("GOOGLETRANSLATE(A16,""ko"",""en"")"),"To be for")</f>
        <v>To be for</v>
      </c>
    </row>
    <row r="17">
      <c r="A17" s="1" t="s">
        <v>17</v>
      </c>
      <c r="B17" s="2" t="str">
        <f>IFERROR(__xludf.DUMMYFUNCTION("GOOGLETRANSLATE(A17,""ko"",""en"")"),"however")</f>
        <v>however</v>
      </c>
    </row>
    <row r="18">
      <c r="A18" s="1" t="s">
        <v>18</v>
      </c>
      <c r="B18" s="2" t="str">
        <f>IFERROR(__xludf.DUMMYFUNCTION("GOOGLETRANSLATE(A18,""ko"",""en"")"),"know")</f>
        <v>know</v>
      </c>
    </row>
    <row r="19">
      <c r="A19" s="1" t="s">
        <v>19</v>
      </c>
      <c r="B19" s="2" t="str">
        <f>IFERROR(__xludf.DUMMYFUNCTION("GOOGLETRANSLATE(A19,""ko"",""en"")"),"Yes")</f>
        <v>Yes</v>
      </c>
    </row>
    <row r="20">
      <c r="A20" s="1" t="s">
        <v>20</v>
      </c>
      <c r="B20" s="2" t="str">
        <f>IFERROR(__xludf.DUMMYFUNCTION("GOOGLETRANSLATE(A20,""ko"",""en"")"),"also")</f>
        <v>also</v>
      </c>
    </row>
    <row r="21">
      <c r="A21" s="1" t="s">
        <v>21</v>
      </c>
      <c r="B21" s="2" t="str">
        <f>IFERROR(__xludf.DUMMYFUNCTION("GOOGLETRANSLATE(A21,""ko"",""en"")"),"society")</f>
        <v>society</v>
      </c>
    </row>
    <row r="22">
      <c r="A22" s="1" t="s">
        <v>22</v>
      </c>
      <c r="B22" s="2" t="str">
        <f>IFERROR(__xludf.DUMMYFUNCTION("GOOGLETRANSLATE(A22,""ko"",""en"")"),"There are many")</f>
        <v>There are many</v>
      </c>
    </row>
    <row r="23">
      <c r="A23" s="1" t="s">
        <v>23</v>
      </c>
      <c r="B23" s="2" t="str">
        <f>IFERROR(__xludf.DUMMYFUNCTION("GOOGLETRANSLATE(A23,""ko"",""en"")"),"good night")</f>
        <v>good night</v>
      </c>
    </row>
    <row r="24">
      <c r="A24" s="1" t="s">
        <v>24</v>
      </c>
      <c r="B24" s="2" t="str">
        <f>IFERROR(__xludf.DUMMYFUNCTION("GOOGLETRANSLATE(A24,""ko"",""en"")"),"more")</f>
        <v>more</v>
      </c>
    </row>
    <row r="25">
      <c r="A25" s="1" t="s">
        <v>25</v>
      </c>
      <c r="B25" s="2" t="str">
        <f>IFERROR(__xludf.DUMMYFUNCTION("GOOGLETRANSLATE(A25,""ko"",""en"")"),"receive")</f>
        <v>receive</v>
      </c>
    </row>
    <row r="26">
      <c r="A26" s="1" t="s">
        <v>26</v>
      </c>
      <c r="B26" s="2" t="str">
        <f>IFERROR(__xludf.DUMMYFUNCTION("GOOGLETRANSLATE(A26,""ko"",""en"")"),"that")</f>
        <v>that</v>
      </c>
    </row>
    <row r="27">
      <c r="A27" s="1" t="s">
        <v>27</v>
      </c>
      <c r="B27" s="2" t="str">
        <f>IFERROR(__xludf.DUMMYFUNCTION("GOOGLETRANSLATE(A27,""ko"",""en"")"),"house")</f>
        <v>house</v>
      </c>
    </row>
    <row r="28">
      <c r="A28" s="1" t="s">
        <v>28</v>
      </c>
      <c r="B28" s="2" t="str">
        <f>IFERROR(__xludf.DUMMYFUNCTION("GOOGLETRANSLATE(A28,""ko"",""en"")"),"come out")</f>
        <v>come out</v>
      </c>
    </row>
    <row r="29">
      <c r="A29" s="1" t="s">
        <v>29</v>
      </c>
      <c r="B29" s="2" t="str">
        <f>IFERROR(__xludf.DUMMYFUNCTION("GOOGLETRANSLATE(A29,""ko"",""en"")"),"and")</f>
        <v>and</v>
      </c>
    </row>
    <row r="30">
      <c r="A30" s="1" t="s">
        <v>30</v>
      </c>
      <c r="B30" s="2" t="str">
        <f>IFERROR(__xludf.DUMMYFUNCTION("GOOGLETRANSLATE(A30,""ko"",""en"")"),"problem")</f>
        <v>problem</v>
      </c>
    </row>
    <row r="31">
      <c r="A31" s="1" t="s">
        <v>31</v>
      </c>
      <c r="B31" s="2" t="str">
        <f>IFERROR(__xludf.DUMMYFUNCTION("GOOGLETRANSLATE(A31,""ko"",""en"")"),"that")</f>
        <v>that</v>
      </c>
    </row>
    <row r="32">
      <c r="A32" s="1" t="s">
        <v>32</v>
      </c>
      <c r="B32" s="2" t="str">
        <f>IFERROR(__xludf.DUMMYFUNCTION("GOOGLETRANSLATE(A32,""ko"",""en"")"),"live")</f>
        <v>live</v>
      </c>
    </row>
    <row r="33">
      <c r="A33" s="1" t="s">
        <v>33</v>
      </c>
      <c r="B33" s="2" t="str">
        <f>IFERROR(__xludf.DUMMYFUNCTION("GOOGLETRANSLATE(A33,""ko"",""en"")"),"Think")</f>
        <v>Think</v>
      </c>
    </row>
    <row r="34">
      <c r="A34" s="1" t="s">
        <v>34</v>
      </c>
      <c r="B34" s="2" t="str">
        <f>IFERROR(__xludf.DUMMYFUNCTION("GOOGLETRANSLATE(A34,""ko"",""en"")"),"don't know")</f>
        <v>don't know</v>
      </c>
    </row>
    <row r="35">
      <c r="A35" s="1" t="s">
        <v>35</v>
      </c>
      <c r="B35" s="2" t="str">
        <f>IFERROR(__xludf.DUMMYFUNCTION("GOOGLETRANSLATE(A35,""ko"",""en"")"),"inside")</f>
        <v>inside</v>
      </c>
    </row>
    <row r="36">
      <c r="A36" s="1" t="s">
        <v>36</v>
      </c>
      <c r="B36" s="2" t="str">
        <f>IFERROR(__xludf.DUMMYFUNCTION("GOOGLETRANSLATE(A36,""ko"",""en"")"),"make")</f>
        <v>make</v>
      </c>
    </row>
    <row r="37">
      <c r="A37" s="1" t="s">
        <v>37</v>
      </c>
      <c r="B37" s="2" t="str">
        <f>IFERROR(__xludf.DUMMYFUNCTION("GOOGLETRANSLATE(A37,""ko"",""en"")"),"place")</f>
        <v>place</v>
      </c>
    </row>
    <row r="38">
      <c r="A38" s="1" t="s">
        <v>38</v>
      </c>
      <c r="B38" s="2" t="str">
        <f>IFERROR(__xludf.DUMMYFUNCTION("GOOGLETRANSLATE(A38,""ko"",""en"")"),"two")</f>
        <v>two</v>
      </c>
    </row>
    <row r="39">
      <c r="A39" s="1" t="s">
        <v>39</v>
      </c>
      <c r="B39" s="2" t="str">
        <f>IFERROR(__xludf.DUMMYFUNCTION("GOOGLETRANSLATE(A39,""ko"",""en"")"),"front")</f>
        <v>front</v>
      </c>
    </row>
    <row r="40">
      <c r="A40" s="1" t="s">
        <v>40</v>
      </c>
      <c r="B40" s="2" t="str">
        <f>IFERROR(__xludf.DUMMYFUNCTION("GOOGLETRANSLATE(A40,""ko"",""en"")"),"case")</f>
        <v>case</v>
      </c>
    </row>
    <row r="41">
      <c r="A41" s="1" t="s">
        <v>41</v>
      </c>
      <c r="B41" s="2" t="str">
        <f>IFERROR(__xludf.DUMMYFUNCTION("GOOGLETRANSLATE(A41,""ko"",""en"")"),"middle")</f>
        <v>middle</v>
      </c>
    </row>
    <row r="42">
      <c r="A42" s="1" t="s">
        <v>42</v>
      </c>
      <c r="B42" s="2" t="str">
        <f>IFERROR(__xludf.DUMMYFUNCTION("GOOGLETRANSLATE(A42,""ko"",""en"")"),"which")</f>
        <v>which</v>
      </c>
    </row>
    <row r="43">
      <c r="A43" s="1" t="s">
        <v>43</v>
      </c>
      <c r="B43" s="2" t="str">
        <f>IFERROR(__xludf.DUMMYFUNCTION("GOOGLETRANSLATE(A43,""ko"",""en"")"),"well")</f>
        <v>well</v>
      </c>
    </row>
    <row r="44">
      <c r="A44" s="1" t="s">
        <v>44</v>
      </c>
      <c r="B44" s="2" t="str">
        <f>IFERROR(__xludf.DUMMYFUNCTION("GOOGLETRANSLATE(A44,""ko"",""en"")"),"She")</f>
        <v>She</v>
      </c>
    </row>
    <row r="45">
      <c r="A45" s="1" t="s">
        <v>45</v>
      </c>
      <c r="B45" s="2" t="str">
        <f>IFERROR(__xludf.DUMMYFUNCTION("GOOGLETRANSLATE(A45,""ko"",""en"")"),"come")</f>
        <v>come</v>
      </c>
    </row>
    <row r="46">
      <c r="A46" s="1" t="s">
        <v>46</v>
      </c>
      <c r="B46" s="2" t="str">
        <f>IFERROR(__xludf.DUMMYFUNCTION("GOOGLETRANSLATE(A46,""ko"",""en"")"),"culture")</f>
        <v>culture</v>
      </c>
    </row>
    <row r="47">
      <c r="A47" s="1" t="s">
        <v>47</v>
      </c>
      <c r="B47" s="2" t="str">
        <f>IFERROR(__xludf.DUMMYFUNCTION("GOOGLETRANSLATE(A47,""ko"",""en"")"),"thought")</f>
        <v>thought</v>
      </c>
    </row>
    <row r="48">
      <c r="A48" s="1" t="s">
        <v>48</v>
      </c>
      <c r="B48" s="2" t="str">
        <f>IFERROR(__xludf.DUMMYFUNCTION("GOOGLETRANSLATE(A48,""ko"",""en"")"),"How is it?")</f>
        <v>How is it?</v>
      </c>
    </row>
    <row r="49">
      <c r="A49" s="1" t="s">
        <v>49</v>
      </c>
      <c r="B49" s="2" t="str">
        <f>IFERROR(__xludf.DUMMYFUNCTION("GOOGLETRANSLATE(A49,""ko"",""en"")"),"number of people")</f>
        <v>number of people</v>
      </c>
    </row>
    <row r="50">
      <c r="A50" s="1" t="s">
        <v>50</v>
      </c>
      <c r="B50" s="2" t="str">
        <f>IFERROR(__xludf.DUMMYFUNCTION("GOOGLETRANSLATE(A50,""ko"",""en"")"),"pass")</f>
        <v>pass</v>
      </c>
    </row>
    <row r="51">
      <c r="A51" s="1" t="s">
        <v>51</v>
      </c>
      <c r="B51" s="2" t="str">
        <f>IFERROR(__xludf.DUMMYFUNCTION("GOOGLETRANSLATE(A51,""ko"",""en"")"),"Then")</f>
        <v>Then</v>
      </c>
    </row>
    <row r="52">
      <c r="A52" s="1" t="s">
        <v>52</v>
      </c>
      <c r="B52" s="2" t="str">
        <f>IFERROR(__xludf.DUMMYFUNCTION("GOOGLETRANSLATE(A52,""ko"",""en"")"),"sound")</f>
        <v>sound</v>
      </c>
    </row>
    <row r="53">
      <c r="A53" s="1" t="s">
        <v>53</v>
      </c>
      <c r="B53" s="2" t="str">
        <f>IFERROR(__xludf.DUMMYFUNCTION("GOOGLETRANSLATE(A53,""ko"",""en"")"),"again")</f>
        <v>again</v>
      </c>
    </row>
    <row r="54">
      <c r="A54" s="1" t="s">
        <v>54</v>
      </c>
      <c r="B54" s="2" t="str">
        <f>IFERROR(__xludf.DUMMYFUNCTION("GOOGLETRANSLATE(A54,""ko"",""en"")"),"different")</f>
        <v>different</v>
      </c>
    </row>
    <row r="55">
      <c r="A55" s="1" t="s">
        <v>55</v>
      </c>
      <c r="B55" s="2" t="str">
        <f>IFERROR(__xludf.DUMMYFUNCTION("GOOGLETRANSLATE(A55,""ko"",""en"")"),"this")</f>
        <v>this</v>
      </c>
    </row>
    <row r="56">
      <c r="A56" s="1" t="s">
        <v>56</v>
      </c>
      <c r="B56" s="2" t="str">
        <f>IFERROR(__xludf.DUMMYFUNCTION("GOOGLETRANSLATE(A56,""ko"",""en"")"),"female")</f>
        <v>female</v>
      </c>
    </row>
    <row r="57">
      <c r="A57" s="1" t="s">
        <v>57</v>
      </c>
      <c r="B57" s="2" t="str">
        <f>IFERROR(__xludf.DUMMYFUNCTION("GOOGLETRANSLATE(A57,""ko"",""en"")"),"degree")</f>
        <v>degree</v>
      </c>
    </row>
    <row r="58">
      <c r="A58" s="1" t="s">
        <v>58</v>
      </c>
      <c r="B58" s="2" t="str">
        <f>IFERROR(__xludf.DUMMYFUNCTION("GOOGLETRANSLATE(A58,""ko"",""en"")"),"back")</f>
        <v>back</v>
      </c>
    </row>
    <row r="59">
      <c r="A59" s="1" t="s">
        <v>59</v>
      </c>
      <c r="B59" s="2" t="str">
        <f>IFERROR(__xludf.DUMMYFUNCTION("GOOGLETRANSLATE(A59,""ko"",""en"")"),"listen")</f>
        <v>listen</v>
      </c>
    </row>
    <row r="60">
      <c r="A60" s="1" t="s">
        <v>60</v>
      </c>
      <c r="B60" s="2" t="str">
        <f>IFERROR(__xludf.DUMMYFUNCTION("GOOGLETRANSLATE(A60,""ko"",""en"")"),"a little")</f>
        <v>a little</v>
      </c>
    </row>
    <row r="61">
      <c r="A61" s="1" t="s">
        <v>61</v>
      </c>
      <c r="B61" s="2" t="str">
        <f>IFERROR(__xludf.DUMMYFUNCTION("GOOGLETRANSLATE(A61,""ko"",""en"")"),"look like")</f>
        <v>look like</v>
      </c>
    </row>
    <row r="62">
      <c r="A62" s="1" t="s">
        <v>62</v>
      </c>
      <c r="B62" s="2" t="str">
        <f>IFERROR(__xludf.DUMMYFUNCTION("GOOGLETRANSLATE(A62,""ko"",""en"")"),"together")</f>
        <v>together</v>
      </c>
    </row>
    <row r="63">
      <c r="A63" s="1" t="s">
        <v>63</v>
      </c>
      <c r="B63" s="2" t="str">
        <f>IFERROR(__xludf.DUMMYFUNCTION("GOOGLETRANSLATE(A63,""ko"",""en"")"),"pass by")</f>
        <v>pass by</v>
      </c>
    </row>
    <row r="64">
      <c r="A64" s="1" t="s">
        <v>64</v>
      </c>
      <c r="B64" s="2" t="str">
        <f>IFERROR(__xludf.DUMMYFUNCTION("GOOGLETRANSLATE(A64,""ko"",""en"")"),"many")</f>
        <v>many</v>
      </c>
    </row>
    <row r="65">
      <c r="A65" s="1" t="s">
        <v>65</v>
      </c>
      <c r="B65" s="2" t="str">
        <f>IFERROR(__xludf.DUMMYFUNCTION("GOOGLETRANSLATE(A65,""ko"",""en"")"),"you")</f>
        <v>you</v>
      </c>
    </row>
    <row r="66">
      <c r="A66" s="1" t="s">
        <v>66</v>
      </c>
      <c r="B66" s="2" t="str">
        <f>IFERROR(__xludf.DUMMYFUNCTION("GOOGLETRANSLATE(A66,""ko"",""en"")"),"give")</f>
        <v>give</v>
      </c>
    </row>
    <row r="67">
      <c r="A67" s="1" t="s">
        <v>67</v>
      </c>
      <c r="B67" s="2" t="str">
        <f>IFERROR(__xludf.DUMMYFUNCTION("GOOGLETRANSLATE(A67,""ko"",""en"")"),"human being")</f>
        <v>human being</v>
      </c>
    </row>
    <row r="68">
      <c r="A68" s="1" t="s">
        <v>68</v>
      </c>
      <c r="B68" s="2" t="str">
        <f>IFERROR(__xludf.DUMMYFUNCTION("GOOGLETRANSLATE(A68,""ko"",""en"")"),"It's like this")</f>
        <v>It's like this</v>
      </c>
    </row>
    <row r="69">
      <c r="A69" s="1" t="s">
        <v>69</v>
      </c>
      <c r="B69" s="2" t="str">
        <f>IFERROR(__xludf.DUMMYFUNCTION("GOOGLETRANSLATE(A69,""ko"",""en"")"),"mother")</f>
        <v>mother</v>
      </c>
    </row>
    <row r="70">
      <c r="A70" s="1" t="s">
        <v>70</v>
      </c>
      <c r="B70" s="2" t="str">
        <f>IFERROR(__xludf.DUMMYFUNCTION("GOOGLETRANSLATE(A70,""ko"",""en"")"),"be due to")</f>
        <v>be due to</v>
      </c>
    </row>
    <row r="71">
      <c r="A71" s="1" t="s">
        <v>71</v>
      </c>
      <c r="B71" s="2" t="str">
        <f>IFERROR(__xludf.DUMMYFUNCTION("GOOGLETRANSLATE(A71,""ko"",""en"")"),"times")</f>
        <v>times</v>
      </c>
    </row>
    <row r="72">
      <c r="A72" s="1" t="s">
        <v>72</v>
      </c>
      <c r="B72" s="2" t="str">
        <f>IFERROR(__xludf.DUMMYFUNCTION("GOOGLETRANSLATE(A72,""ko"",""en"")"),"next")</f>
        <v>next</v>
      </c>
    </row>
    <row r="73">
      <c r="A73" s="1" t="s">
        <v>73</v>
      </c>
      <c r="B73" s="2" t="str">
        <f>IFERROR(__xludf.DUMMYFUNCTION("GOOGLETRANSLATE(A73,""ko"",""en"")"),"It's like this")</f>
        <v>It's like this</v>
      </c>
    </row>
    <row r="74">
      <c r="A74" s="1" t="s">
        <v>74</v>
      </c>
      <c r="B74" s="2" t="str">
        <f>IFERROR(__xludf.DUMMYFUNCTION("GOOGLETRANSLATE(A74,""ko"",""en"")"),"who")</f>
        <v>who</v>
      </c>
    </row>
    <row r="75">
      <c r="A75" s="1" t="s">
        <v>75</v>
      </c>
      <c r="B75" s="2" t="str">
        <f>IFERROR(__xludf.DUMMYFUNCTION("GOOGLETRANSLATE(A75,""ko"",""en"")"),"place")</f>
        <v>place</v>
      </c>
    </row>
    <row r="76">
      <c r="A76" s="1" t="s">
        <v>76</v>
      </c>
      <c r="B76" s="2" t="str">
        <f>IFERROR(__xludf.DUMMYFUNCTION("GOOGLETRANSLATE(A76,""ko"",""en"")"),"several")</f>
        <v>several</v>
      </c>
    </row>
    <row r="77">
      <c r="A77" s="1" t="s">
        <v>77</v>
      </c>
      <c r="B77" s="2" t="str">
        <f>IFERROR(__xludf.DUMMYFUNCTION("GOOGLETRANSLATE(A77,""ko"",""en"")"),"world")</f>
        <v>world</v>
      </c>
    </row>
    <row r="78">
      <c r="A78" s="1" t="s">
        <v>78</v>
      </c>
      <c r="B78" s="2" t="str">
        <f>IFERROR(__xludf.DUMMYFUNCTION("GOOGLETRANSLATE(A78,""ko"",""en"")"),"work out")</f>
        <v>work out</v>
      </c>
    </row>
    <row r="79">
      <c r="A79" s="1" t="s">
        <v>79</v>
      </c>
      <c r="B79" s="2" t="str">
        <f>IFERROR(__xludf.DUMMYFUNCTION("GOOGLETRANSLATE(A79,""ko"",""en"")"),"percent")</f>
        <v>percent</v>
      </c>
    </row>
    <row r="80">
      <c r="A80" s="1" t="s">
        <v>80</v>
      </c>
      <c r="B80" s="2" t="str">
        <f>IFERROR(__xludf.DUMMYFUNCTION("GOOGLETRANSLATE(A80,""ko"",""en"")"),"school")</f>
        <v>school</v>
      </c>
    </row>
    <row r="81">
      <c r="A81" s="1" t="s">
        <v>81</v>
      </c>
      <c r="B81" s="2" t="str">
        <f>IFERROR(__xludf.DUMMYFUNCTION("GOOGLETRANSLATE(A81,""ko"",""en"")"),"president")</f>
        <v>president</v>
      </c>
    </row>
    <row r="82">
      <c r="A82" s="1" t="s">
        <v>82</v>
      </c>
      <c r="B82" s="2" t="str">
        <f>IFERROR(__xludf.DUMMYFUNCTION("GOOGLETRANSLATE(A82,""ko"",""en"")"),"start")</f>
        <v>start</v>
      </c>
    </row>
    <row r="83">
      <c r="A83" s="1" t="s">
        <v>83</v>
      </c>
      <c r="B83" s="2" t="str">
        <f>IFERROR(__xludf.DUMMYFUNCTION("GOOGLETRANSLATE(A83,""ko"",""en"")"),"as soon as")</f>
        <v>as soon as</v>
      </c>
    </row>
    <row r="84">
      <c r="A84" s="1" t="s">
        <v>84</v>
      </c>
      <c r="B84" s="2" t="str">
        <f>IFERROR(__xludf.DUMMYFUNCTION("GOOGLETRANSLATE(A84,""ko"",""en"")"),"any")</f>
        <v>any</v>
      </c>
    </row>
    <row r="85">
      <c r="A85" s="1" t="s">
        <v>85</v>
      </c>
      <c r="B85" s="2" t="str">
        <f>IFERROR(__xludf.DUMMYFUNCTION("GOOGLETRANSLATE(A85,""ko"",""en"")"),"what")</f>
        <v>what</v>
      </c>
    </row>
    <row r="86">
      <c r="A86" s="1" t="s">
        <v>86</v>
      </c>
      <c r="B86" s="2" t="str">
        <f>IFERROR(__xludf.DUMMYFUNCTION("GOOGLETRANSLATE(A86,""ko"",""en"")"),"government")</f>
        <v>government</v>
      </c>
    </row>
    <row r="87">
      <c r="A87" s="1" t="s">
        <v>87</v>
      </c>
      <c r="B87" s="2" t="str">
        <f>IFERROR(__xludf.DUMMYFUNCTION("GOOGLETRANSLATE(A87,""ko"",""en"")"),"every")</f>
        <v>every</v>
      </c>
    </row>
    <row r="88">
      <c r="A88" s="1" t="s">
        <v>88</v>
      </c>
      <c r="B88" s="2" t="str">
        <f>IFERROR(__xludf.DUMMYFUNCTION("GOOGLETRANSLATE(A88,""ko"",""en"")"),"th")</f>
        <v>th</v>
      </c>
    </row>
    <row r="89">
      <c r="A89" s="1" t="s">
        <v>89</v>
      </c>
      <c r="B89" s="2" t="str">
        <f>IFERROR(__xludf.DUMMYFUNCTION("GOOGLETRANSLATE(A89,""ko"",""en"")"),"that")</f>
        <v>that</v>
      </c>
    </row>
    <row r="90">
      <c r="A90" s="1" t="s">
        <v>90</v>
      </c>
      <c r="B90" s="2" t="str">
        <f>IFERROR(__xludf.DUMMYFUNCTION("GOOGLETRANSLATE(A90,""ko"",""en"")"),"money")</f>
        <v>money</v>
      </c>
    </row>
    <row r="91">
      <c r="A91" s="1" t="s">
        <v>91</v>
      </c>
      <c r="B91" s="2" t="str">
        <f>IFERROR(__xludf.DUMMYFUNCTION("GOOGLETRANSLATE(A91,""ko"",""en"")"),"nation")</f>
        <v>nation</v>
      </c>
    </row>
    <row r="92">
      <c r="A92" s="1" t="s">
        <v>92</v>
      </c>
      <c r="B92" s="2" t="str">
        <f>IFERROR(__xludf.DUMMYFUNCTION("GOOGLETRANSLATE(A92,""ko"",""en"")"),"however")</f>
        <v>however</v>
      </c>
    </row>
    <row r="93">
      <c r="A93" s="1" t="s">
        <v>93</v>
      </c>
      <c r="B93" s="2" t="str">
        <f>IFERROR(__xludf.DUMMYFUNCTION("GOOGLETRANSLATE(A93,""ko"",""en"")"),"me")</f>
        <v>me</v>
      </c>
    </row>
    <row r="94">
      <c r="A94" s="1" t="s">
        <v>94</v>
      </c>
      <c r="B94" s="2" t="str">
        <f>IFERROR(__xludf.DUMMYFUNCTION("GOOGLETRANSLATE(A94,""ko"",""en"")"),"here")</f>
        <v>here</v>
      </c>
    </row>
    <row r="95">
      <c r="A95" s="1" t="s">
        <v>95</v>
      </c>
      <c r="B95" s="2" t="str">
        <f>IFERROR(__xludf.DUMMYFUNCTION("GOOGLETRANSLATE(A95,""ko"",""en"")"),"female")</f>
        <v>female</v>
      </c>
    </row>
    <row r="96">
      <c r="A96" s="1" t="s">
        <v>96</v>
      </c>
      <c r="B96" s="2" t="str">
        <f>IFERROR(__xludf.DUMMYFUNCTION("GOOGLETRANSLATE(A96,""ko"",""en"")"),"friend")</f>
        <v>friend</v>
      </c>
    </row>
    <row r="97">
      <c r="A97" s="1" t="s">
        <v>97</v>
      </c>
      <c r="B97" s="2" t="str">
        <f>IFERROR(__xludf.DUMMYFUNCTION("GOOGLETRANSLATE(A97,""ko"",""en"")"),"mind")</f>
        <v>mind</v>
      </c>
    </row>
    <row r="98">
      <c r="A98" s="1" t="s">
        <v>98</v>
      </c>
      <c r="B98" s="2" t="str">
        <f>IFERROR(__xludf.DUMMYFUNCTION("GOOGLETRANSLATE(A98,""ko"",""en"")"),"after")</f>
        <v>after</v>
      </c>
    </row>
    <row r="99">
      <c r="A99" s="1" t="s">
        <v>99</v>
      </c>
      <c r="B99" s="2" t="str">
        <f>IFERROR(__xludf.DUMMYFUNCTION("GOOGLETRANSLATE(A99,""ko"",""en"")"),"go")</f>
        <v>go</v>
      </c>
    </row>
    <row r="100">
      <c r="A100" s="1" t="s">
        <v>100</v>
      </c>
      <c r="B100" s="2" t="str">
        <f>IFERROR(__xludf.DUMMYFUNCTION("GOOGLETRANSLATE(A100,""ko"",""en"")"),"relationship")</f>
        <v>relationship</v>
      </c>
    </row>
    <row r="101">
      <c r="A101" s="1" t="s">
        <v>101</v>
      </c>
      <c r="B101" s="2" t="str">
        <f>IFERROR(__xludf.DUMMYFUNCTION("GOOGLETRANSLATE(A101,""ko"",""en"")"),"father")</f>
        <v>father</v>
      </c>
    </row>
    <row r="102">
      <c r="A102" s="1" t="s">
        <v>102</v>
      </c>
      <c r="B102" s="2" t="str">
        <f>IFERROR(__xludf.DUMMYFUNCTION("GOOGLETRANSLATE(A102,""ko"",""en"")"),"man")</f>
        <v>man</v>
      </c>
    </row>
    <row r="103">
      <c r="A103" s="1" t="s">
        <v>103</v>
      </c>
      <c r="B103" s="2" t="str">
        <f>IFERROR(__xludf.DUMMYFUNCTION("GOOGLETRANSLATE(A103,""ko"",""en"")"),"body")</f>
        <v>body</v>
      </c>
    </row>
    <row r="104">
      <c r="A104" s="1" t="s">
        <v>104</v>
      </c>
      <c r="B104" s="2" t="str">
        <f>IFERROR(__xludf.DUMMYFUNCTION("GOOGLETRANSLATE(A104,""ko"",""en"")"),"face")</f>
        <v>face</v>
      </c>
    </row>
    <row r="105">
      <c r="A105" s="1" t="s">
        <v>105</v>
      </c>
      <c r="B105" s="2" t="str">
        <f>IFERROR(__xludf.DUMMYFUNCTION("GOOGLETRANSLATE(A105,""ko"",""en"")"),"enter")</f>
        <v>enter</v>
      </c>
    </row>
    <row r="106">
      <c r="A106" s="1" t="s">
        <v>106</v>
      </c>
      <c r="B106" s="2" t="str">
        <f>IFERROR(__xludf.DUMMYFUNCTION("GOOGLETRANSLATE(A106,""ko"",""en"")"),"why")</f>
        <v>why</v>
      </c>
    </row>
    <row r="107">
      <c r="A107" s="1" t="s">
        <v>107</v>
      </c>
      <c r="B107" s="2" t="str">
        <f>IFERROR(__xludf.DUMMYFUNCTION("GOOGLETRANSLATE(A107,""ko"",""en"")"),"appear")</f>
        <v>appear</v>
      </c>
    </row>
    <row r="108">
      <c r="A108" s="1" t="s">
        <v>108</v>
      </c>
      <c r="B108" s="2" t="str">
        <f>IFERROR(__xludf.DUMMYFUNCTION("GOOGLETRANSLATE(A108,""ko"",""en"")"),"region")</f>
        <v>region</v>
      </c>
    </row>
    <row r="109">
      <c r="A109" s="1" t="s">
        <v>109</v>
      </c>
      <c r="B109" s="2" t="str">
        <f>IFERROR(__xludf.DUMMYFUNCTION("GOOGLETRANSLATE(A109,""ko"",""en"")"),"different")</f>
        <v>different</v>
      </c>
    </row>
    <row r="110">
      <c r="A110" s="1" t="s">
        <v>110</v>
      </c>
      <c r="B110" s="2" t="str">
        <f>IFERROR(__xludf.DUMMYFUNCTION("GOOGLETRANSLATE(A110,""ko"",""en"")"),"figure")</f>
        <v>figure</v>
      </c>
    </row>
    <row r="111">
      <c r="A111" s="1" t="s">
        <v>111</v>
      </c>
      <c r="B111" s="2" t="str">
        <f>IFERROR(__xludf.DUMMYFUNCTION("GOOGLETRANSLATE(A111,""ko"",""en"")"),"water")</f>
        <v>water</v>
      </c>
    </row>
    <row r="112">
      <c r="A112" s="1" t="s">
        <v>112</v>
      </c>
      <c r="B112" s="2" t="str">
        <f>IFERROR(__xludf.DUMMYFUNCTION("GOOGLETRANSLATE(A112,""ko"",""en"")"),"meet")</f>
        <v>meet</v>
      </c>
    </row>
    <row r="113">
      <c r="A113" s="1" t="s">
        <v>113</v>
      </c>
      <c r="B113" s="2" t="str">
        <f>IFERROR(__xludf.DUMMYFUNCTION("GOOGLETRANSLATE(A113,""ko"",""en"")"),"show")</f>
        <v>show</v>
      </c>
    </row>
    <row r="114">
      <c r="A114" s="1" t="s">
        <v>114</v>
      </c>
      <c r="B114" s="2" t="str">
        <f>IFERROR(__xludf.DUMMYFUNCTION("GOOGLETRANSLATE(A114,""ko"",""en"")"),"this")</f>
        <v>this</v>
      </c>
    </row>
    <row r="115">
      <c r="A115" s="1" t="s">
        <v>115</v>
      </c>
      <c r="B115" s="2" t="str">
        <f>IFERROR(__xludf.DUMMYFUNCTION("GOOGLETRANSLATE(A115,""ko"",""en"")"),"without")</f>
        <v>without</v>
      </c>
    </row>
    <row r="116">
      <c r="A116" s="1" t="s">
        <v>116</v>
      </c>
      <c r="B116" s="2" t="str">
        <f>IFERROR(__xludf.DUMMYFUNCTION("GOOGLETRANSLATE(A116,""ko"",""en"")"),"this time")</f>
        <v>this time</v>
      </c>
    </row>
    <row r="117">
      <c r="A117" s="1" t="s">
        <v>117</v>
      </c>
      <c r="B117" s="2" t="str">
        <f>IFERROR(__xludf.DUMMYFUNCTION("GOOGLETRANSLATE(A117,""ko"",""en"")"),"road")</f>
        <v>road</v>
      </c>
    </row>
    <row r="118">
      <c r="A118" s="1" t="s">
        <v>118</v>
      </c>
      <c r="B118" s="2" t="str">
        <f>IFERROR(__xludf.DUMMYFUNCTION("GOOGLETRANSLATE(A118,""ko"",""en"")"),"life")</f>
        <v>life</v>
      </c>
    </row>
    <row r="119">
      <c r="A119" s="1" t="s">
        <v>119</v>
      </c>
      <c r="B119" s="2" t="str">
        <f>IFERROR(__xludf.DUMMYFUNCTION("GOOGLETRANSLATE(A119,""ko"",""en"")"),"only")</f>
        <v>only</v>
      </c>
    </row>
    <row r="120">
      <c r="A120" s="1" t="s">
        <v>120</v>
      </c>
      <c r="B120" s="2" t="str">
        <f>IFERROR(__xludf.DUMMYFUNCTION("GOOGLETRANSLATE(A120,""ko"",""en"")"),"between")</f>
        <v>between</v>
      </c>
    </row>
    <row r="121">
      <c r="A121" s="1" t="s">
        <v>121</v>
      </c>
      <c r="B121" s="2" t="str">
        <f>IFERROR(__xludf.DUMMYFUNCTION("GOOGLETRANSLATE(A121,""ko"",""en"")"),"method")</f>
        <v>method</v>
      </c>
    </row>
    <row r="122">
      <c r="A122" s="1" t="s">
        <v>122</v>
      </c>
      <c r="B122" s="2" t="str">
        <f>IFERROR(__xludf.DUMMYFUNCTION("GOOGLETRANSLATE(A122,""ko"",""en"")"),"be new")</f>
        <v>be new</v>
      </c>
    </row>
    <row r="123">
      <c r="A123" s="1" t="s">
        <v>123</v>
      </c>
      <c r="B123" s="2" t="str">
        <f>IFERROR(__xludf.DUMMYFUNCTION("GOOGLETRANSLATE(A123,""ko"",""en"")"),"Our country")</f>
        <v>Our country</v>
      </c>
    </row>
    <row r="124">
      <c r="A124" s="1" t="s">
        <v>124</v>
      </c>
      <c r="B124" s="2" t="str">
        <f>IFERROR(__xludf.DUMMYFUNCTION("GOOGLETRANSLATE(A124,""ko"",""en"")"),"give")</f>
        <v>give</v>
      </c>
    </row>
    <row r="125">
      <c r="A125" s="1" t="s">
        <v>125</v>
      </c>
      <c r="B125" s="2" t="str">
        <f>IFERROR(__xludf.DUMMYFUNCTION("GOOGLETRANSLATE(A125,""ko"",""en"")"),"sit")</f>
        <v>sit</v>
      </c>
    </row>
    <row r="126">
      <c r="A126" s="1" t="s">
        <v>126</v>
      </c>
      <c r="B126" s="2" t="str">
        <f>IFERROR(__xludf.DUMMYFUNCTION("GOOGLETRANSLATE(A126,""ko"",""en"")"),"first")</f>
        <v>first</v>
      </c>
    </row>
    <row r="127">
      <c r="A127" s="1" t="s">
        <v>127</v>
      </c>
      <c r="B127" s="2" t="str">
        <f>IFERROR(__xludf.DUMMYFUNCTION("GOOGLETRANSLATE(A127,""ko"",""en"")"),"hand")</f>
        <v>hand</v>
      </c>
    </row>
    <row r="128">
      <c r="A128" s="1" t="s">
        <v>128</v>
      </c>
      <c r="B128" s="2" t="str">
        <f>IFERROR(__xludf.DUMMYFUNCTION("GOOGLETRANSLATE(A128,""ko"",""en"")"),"at that time")</f>
        <v>at that time</v>
      </c>
    </row>
    <row r="129">
      <c r="A129" s="1" t="s">
        <v>129</v>
      </c>
      <c r="B129" s="2" t="str">
        <f>IFERROR(__xludf.DUMMYFUNCTION("GOOGLETRANSLATE(A129,""ko"",""en"")"),"life")</f>
        <v>life</v>
      </c>
    </row>
    <row r="130">
      <c r="A130" s="1" t="s">
        <v>130</v>
      </c>
      <c r="B130" s="2" t="str">
        <f>IFERROR(__xludf.DUMMYFUNCTION("GOOGLETRANSLATE(A130,""ko"",""en"")"),"find")</f>
        <v>find</v>
      </c>
    </row>
    <row r="131">
      <c r="A131" s="1" t="s">
        <v>131</v>
      </c>
      <c r="B131" s="2" t="str">
        <f>IFERROR(__xludf.DUMMYFUNCTION("GOOGLETRANSLATE(A131,""ko"",""en"")"),"especially")</f>
        <v>especially</v>
      </c>
    </row>
    <row r="132">
      <c r="A132" s="1" t="s">
        <v>132</v>
      </c>
      <c r="B132" s="2" t="str">
        <f>IFERROR(__xludf.DUMMYFUNCTION("GOOGLETRANSLATE(A132,""ko"",""en"")"),"now")</f>
        <v>now</v>
      </c>
    </row>
    <row r="133">
      <c r="A133" s="1" t="s">
        <v>133</v>
      </c>
      <c r="B133" s="2" t="str">
        <f>IFERROR(__xludf.DUMMYFUNCTION("GOOGLETRANSLATE(A133,""ko"",""en"")"),"story")</f>
        <v>story</v>
      </c>
    </row>
    <row r="134">
      <c r="A134" s="1" t="s">
        <v>134</v>
      </c>
      <c r="B134" s="2" t="str">
        <f>IFERROR(__xludf.DUMMYFUNCTION("GOOGLETRANSLATE(A134,""ko"",""en"")"),"education")</f>
        <v>education</v>
      </c>
    </row>
    <row r="135">
      <c r="A135" s="1" t="s">
        <v>135</v>
      </c>
      <c r="B135" s="2" t="str">
        <f>IFERROR(__xludf.DUMMYFUNCTION("GOOGLETRANSLATE(A135,""ko"",""en"")"),"buy")</f>
        <v>buy</v>
      </c>
    </row>
    <row r="136">
      <c r="A136" s="1" t="s">
        <v>136</v>
      </c>
      <c r="B136" s="2" t="str">
        <f>IFERROR(__xludf.DUMMYFUNCTION("GOOGLETRANSLATE(A136,""ko"",""en"")"),"economy")</f>
        <v>economy</v>
      </c>
    </row>
    <row r="137">
      <c r="A137" s="1" t="s">
        <v>137</v>
      </c>
      <c r="B137" s="2" t="str">
        <f>IFERROR(__xludf.DUMMYFUNCTION("GOOGLETRANSLATE(A137,""ko"",""en"")"),"yet")</f>
        <v>yet</v>
      </c>
    </row>
    <row r="138">
      <c r="A138" s="1" t="s">
        <v>138</v>
      </c>
      <c r="B138" s="2" t="str">
        <f>IFERROR(__xludf.DUMMYFUNCTION("GOOGLETRANSLATE(A138,""ko"",""en"")"),"grapple")</f>
        <v>grapple</v>
      </c>
    </row>
    <row r="139">
      <c r="A139" s="1" t="s">
        <v>139</v>
      </c>
      <c r="B139" s="2" t="str">
        <f>IFERROR(__xludf.DUMMYFUNCTION("GOOGLETRANSLATE(A139,""ko"",""en"")"),"together")</f>
        <v>together</v>
      </c>
    </row>
    <row r="140">
      <c r="A140" s="1" t="s">
        <v>140</v>
      </c>
      <c r="B140" s="2" t="str">
        <f>IFERROR(__xludf.DUMMYFUNCTION("GOOGLETRANSLATE(A140,""ko"",""en"")"),"teacher")</f>
        <v>teacher</v>
      </c>
    </row>
    <row r="141">
      <c r="A141" s="1" t="s">
        <v>141</v>
      </c>
      <c r="B141" s="2" t="str">
        <f>IFERROR(__xludf.DUMMYFUNCTION("GOOGLETRANSLATE(A141,""ko"",""en"")"),"art")</f>
        <v>art</v>
      </c>
    </row>
    <row r="142">
      <c r="A142" s="1" t="s">
        <v>142</v>
      </c>
      <c r="B142" s="2" t="str">
        <f>IFERROR(__xludf.DUMMYFUNCTION("GOOGLETRANSLATE(A142,""ko"",""en"")"),"stand")</f>
        <v>stand</v>
      </c>
    </row>
    <row r="143">
      <c r="A143" s="1" t="s">
        <v>143</v>
      </c>
      <c r="B143" s="2" t="str">
        <f>IFERROR(__xludf.DUMMYFUNCTION("GOOGLETRANSLATE(A143,""ko"",""en"")"),"history")</f>
        <v>history</v>
      </c>
    </row>
    <row r="144">
      <c r="A144" s="1" t="s">
        <v>144</v>
      </c>
      <c r="B144" s="2" t="str">
        <f>IFERROR(__xludf.DUMMYFUNCTION("GOOGLETRANSLATE(A144,""ko"",""en"")"),"read")</f>
        <v>read</v>
      </c>
    </row>
    <row r="145">
      <c r="A145" s="1" t="s">
        <v>145</v>
      </c>
      <c r="B145" s="2" t="str">
        <f>IFERROR(__xludf.DUMMYFUNCTION("GOOGLETRANSLATE(A145,""ko"",""en"")"),"result")</f>
        <v>result</v>
      </c>
    </row>
    <row r="146">
      <c r="A146" s="1" t="s">
        <v>146</v>
      </c>
      <c r="B146" s="2" t="str">
        <f>IFERROR(__xludf.DUMMYFUNCTION("GOOGLETRANSLATE(A146,""ko"",""en"")"),"detail")</f>
        <v>detail</v>
      </c>
    </row>
    <row r="147">
      <c r="A147" s="1" t="s">
        <v>147</v>
      </c>
      <c r="B147" s="2" t="str">
        <f>IFERROR(__xludf.DUMMYFUNCTION("GOOGLETRANSLATE(A147,""ko"",""en"")"),"during")</f>
        <v>during</v>
      </c>
    </row>
    <row r="148">
      <c r="A148" s="1" t="s">
        <v>148</v>
      </c>
      <c r="B148" s="2" t="str">
        <f>IFERROR(__xludf.DUMMYFUNCTION("GOOGLETRANSLATE(A148,""ko"",""en"")"),"book")</f>
        <v>book</v>
      </c>
    </row>
    <row r="149">
      <c r="A149" s="1" t="s">
        <v>149</v>
      </c>
      <c r="B149" s="2" t="str">
        <f>IFERROR(__xludf.DUMMYFUNCTION("GOOGLETRANSLATE(A149,""ko"",""en"")"),"wake up")</f>
        <v>wake up</v>
      </c>
    </row>
    <row r="150">
      <c r="A150" s="1" t="s">
        <v>150</v>
      </c>
      <c r="B150" s="2" t="str">
        <f>IFERROR(__xludf.DUMMYFUNCTION("GOOGLETRANSLATE(A150,""ko"",""en"")"),"you")</f>
        <v>you</v>
      </c>
    </row>
    <row r="151">
      <c r="A151" s="1" t="s">
        <v>151</v>
      </c>
      <c r="B151" s="2" t="str">
        <f>IFERROR(__xludf.DUMMYFUNCTION("GOOGLETRANSLATE(A151,""ko"",""en"")"),"enclose")</f>
        <v>enclose</v>
      </c>
    </row>
    <row r="152">
      <c r="A152" s="1" t="s">
        <v>152</v>
      </c>
      <c r="B152" s="2" t="str">
        <f>IFERROR(__xludf.DUMMYFUNCTION("GOOGLETRANSLATE(A152,""ko"",""en"")"),"It's important")</f>
        <v>It's important</v>
      </c>
    </row>
    <row r="153">
      <c r="A153" s="1" t="s">
        <v>153</v>
      </c>
      <c r="B153" s="2" t="str">
        <f>IFERROR(__xludf.DUMMYFUNCTION("GOOGLETRANSLATE(A153,""ko"",""en"")"),"what")</f>
        <v>what</v>
      </c>
    </row>
    <row r="154">
      <c r="A154" s="1" t="s">
        <v>154</v>
      </c>
      <c r="B154" s="2" t="str">
        <f>IFERROR(__xludf.DUMMYFUNCTION("GOOGLETRANSLATE(A154,""ko"",""en"")"),"feel")</f>
        <v>feel</v>
      </c>
    </row>
    <row r="155">
      <c r="A155" s="1" t="s">
        <v>155</v>
      </c>
      <c r="B155" s="2" t="str">
        <f>IFERROR(__xludf.DUMMYFUNCTION("GOOGLETRANSLATE(A155,""ko"",""en"")"),"difficult")</f>
        <v>difficult</v>
      </c>
    </row>
    <row r="156">
      <c r="A156" s="1" t="s">
        <v>156</v>
      </c>
      <c r="B156" s="2" t="str">
        <f>IFERROR(__xludf.DUMMYFUNCTION("GOOGLETRANSLATE(A156,""ko"",""en"")"),"strength")</f>
        <v>strength</v>
      </c>
    </row>
    <row r="157">
      <c r="A157" s="1" t="s">
        <v>157</v>
      </c>
      <c r="B157" s="2" t="str">
        <f>IFERROR(__xludf.DUMMYFUNCTION("GOOGLETRANSLATE(A157,""ko"",""en"")"),"too")</f>
        <v>too</v>
      </c>
    </row>
    <row r="158">
      <c r="A158" s="1" t="s">
        <v>158</v>
      </c>
      <c r="B158" s="2" t="str">
        <f>IFERROR(__xludf.DUMMYFUNCTION("GOOGLETRANSLATE(A158,""ko"",""en"")"),"country")</f>
        <v>country</v>
      </c>
    </row>
    <row r="159">
      <c r="A159" s="1" t="s">
        <v>159</v>
      </c>
      <c r="B159" s="2" t="str">
        <f>IFERROR(__xludf.DUMMYFUNCTION("GOOGLETRANSLATE(A159,""ko"",""en"")"),"meaning")</f>
        <v>meaning</v>
      </c>
    </row>
    <row r="160">
      <c r="A160" s="1" t="s">
        <v>160</v>
      </c>
      <c r="B160" s="2" t="str">
        <f>IFERROR(__xludf.DUMMYFUNCTION("GOOGLETRANSLATE(A160,""ko"",""en"")"),"define")</f>
        <v>define</v>
      </c>
    </row>
    <row r="161">
      <c r="A161" s="1" t="s">
        <v>161</v>
      </c>
      <c r="B161" s="2" t="str">
        <f>IFERROR(__xludf.DUMMYFUNCTION("GOOGLETRANSLATE(A161,""ko"",""en"")"),"already")</f>
        <v>already</v>
      </c>
    </row>
    <row r="162">
      <c r="A162" s="1" t="s">
        <v>162</v>
      </c>
      <c r="B162" s="2" t="str">
        <f>IFERROR(__xludf.DUMMYFUNCTION("GOOGLETRANSLATE(A162,""ko"",""en"")"),"politics")</f>
        <v>politics</v>
      </c>
    </row>
    <row r="163">
      <c r="A163" s="1" t="s">
        <v>163</v>
      </c>
      <c r="B163" s="2" t="str">
        <f>IFERROR(__xludf.DUMMYFUNCTION("GOOGLETRANSLATE(A163,""ko"",""en"")"),"people")</f>
        <v>people</v>
      </c>
    </row>
    <row r="164">
      <c r="A164" s="1" t="s">
        <v>164</v>
      </c>
      <c r="B164" s="2" t="str">
        <f>IFERROR(__xludf.DUMMYFUNCTION("GOOGLETRANSLATE(A164,""ko"",""en"")"),"life")</f>
        <v>life</v>
      </c>
    </row>
    <row r="165">
      <c r="A165" s="1" t="s">
        <v>165</v>
      </c>
      <c r="B165" s="2" t="str">
        <f>IFERROR(__xludf.DUMMYFUNCTION("GOOGLETRANSLATE(A165,""ko"",""en"")"),"talk")</f>
        <v>talk</v>
      </c>
    </row>
    <row r="166">
      <c r="A166" s="1" t="s">
        <v>166</v>
      </c>
      <c r="B166" s="2" t="str">
        <f>IFERROR(__xludf.DUMMYFUNCTION("GOOGLETRANSLATE(A166,""ko"",""en"")"),"student")</f>
        <v>student</v>
      </c>
    </row>
    <row r="167">
      <c r="A167" s="1" t="s">
        <v>167</v>
      </c>
      <c r="B167" s="2" t="str">
        <f>IFERROR(__xludf.DUMMYFUNCTION("GOOGLETRANSLATE(A167,""ko"",""en"")"),"research")</f>
        <v>research</v>
      </c>
    </row>
    <row r="168">
      <c r="A168" s="1" t="s">
        <v>168</v>
      </c>
      <c r="B168" s="2" t="str">
        <f>IFERROR(__xludf.DUMMYFUNCTION("GOOGLETRANSLATE(A168,""ko"",""en"")"),"mom")</f>
        <v>mom</v>
      </c>
    </row>
    <row r="169">
      <c r="A169" s="1" t="s">
        <v>169</v>
      </c>
      <c r="B169" s="2" t="str">
        <f>IFERROR(__xludf.DUMMYFUNCTION("GOOGLETRANSLATE(A169,""ko"",""en"")"),"name")</f>
        <v>name</v>
      </c>
    </row>
    <row r="170">
      <c r="A170" s="1" t="s">
        <v>170</v>
      </c>
      <c r="B170" s="2" t="str">
        <f>IFERROR(__xludf.DUMMYFUNCTION("GOOGLETRANSLATE(A170,""ko"",""en"")"),"one")</f>
        <v>one</v>
      </c>
    </row>
    <row r="171">
      <c r="A171" s="1" t="s">
        <v>171</v>
      </c>
      <c r="B171" s="2" t="str">
        <f>IFERROR(__xludf.DUMMYFUNCTION("GOOGLETRANSLATE(A171,""ko"",""en"")"),"get off")</f>
        <v>get off</v>
      </c>
    </row>
    <row r="172">
      <c r="A172" s="1" t="s">
        <v>172</v>
      </c>
      <c r="B172" s="2" t="str">
        <f>IFERROR(__xludf.DUMMYFUNCTION("GOOGLETRANSLATE(A172,""ko"",""en"")"),"case")</f>
        <v>case</v>
      </c>
    </row>
    <row r="173">
      <c r="A173" s="1" t="s">
        <v>173</v>
      </c>
      <c r="B173" s="2" t="str">
        <f>IFERROR(__xludf.DUMMYFUNCTION("GOOGLETRANSLATE(A173,""ko"",""en"")"),"and")</f>
        <v>and</v>
      </c>
    </row>
    <row r="174">
      <c r="A174" s="1" t="s">
        <v>174</v>
      </c>
      <c r="B174" s="2" t="str">
        <f>IFERROR(__xludf.DUMMYFUNCTION("GOOGLETRANSLATE(A174,""ko"",""en"")"),"be easy")</f>
        <v>be easy</v>
      </c>
    </row>
    <row r="175">
      <c r="A175" s="1" t="s">
        <v>175</v>
      </c>
      <c r="B175" s="2" t="str">
        <f>IFERROR(__xludf.DUMMYFUNCTION("GOOGLETRANSLATE(A175,""ko"",""en"")"),"compose")</f>
        <v>compose</v>
      </c>
    </row>
    <row r="176">
      <c r="A176" s="1" t="s">
        <v>176</v>
      </c>
      <c r="B176" s="2" t="str">
        <f>IFERROR(__xludf.DUMMYFUNCTION("GOOGLETRANSLATE(A176,""ko"",""en"")"),"also")</f>
        <v>also</v>
      </c>
    </row>
    <row r="177">
      <c r="A177" s="1" t="s">
        <v>177</v>
      </c>
      <c r="B177" s="2" t="str">
        <f>IFERROR(__xludf.DUMMYFUNCTION("GOOGLETRANSLATE(A177,""ko"",""en"")"),"reason")</f>
        <v>reason</v>
      </c>
    </row>
    <row r="178">
      <c r="A178" s="1" t="s">
        <v>178</v>
      </c>
      <c r="B178" s="2" t="str">
        <f>IFERROR(__xludf.DUMMYFUNCTION("GOOGLETRANSLATE(A178,""ko"",""en"")"),"or")</f>
        <v>or</v>
      </c>
    </row>
    <row r="179">
      <c r="A179" s="1" t="s">
        <v>179</v>
      </c>
      <c r="B179" s="2" t="str">
        <f>IFERROR(__xludf.DUMMYFUNCTION("GOOGLETRANSLATE(A179,""ko"",""en"")"),"need")</f>
        <v>need</v>
      </c>
    </row>
    <row r="180">
      <c r="A180" s="1" t="s">
        <v>180</v>
      </c>
      <c r="B180" s="2" t="str">
        <f>IFERROR(__xludf.DUMMYFUNCTION("GOOGLETRANSLATE(A180,""ko"",""en"")"),"writing")</f>
        <v>writing</v>
      </c>
    </row>
    <row r="181">
      <c r="A181" s="1" t="s">
        <v>181</v>
      </c>
      <c r="B181" s="2" t="str">
        <f>IFERROR(__xludf.DUMMYFUNCTION("GOOGLETRANSLATE(A181,""ko"",""en"")"),"befall")</f>
        <v>befall</v>
      </c>
    </row>
    <row r="182">
      <c r="A182" s="1" t="s">
        <v>182</v>
      </c>
      <c r="B182" s="2" t="str">
        <f>IFERROR(__xludf.DUMMYFUNCTION("GOOGLETRANSLATE(A182,""ko"",""en"")"),"use")</f>
        <v>use</v>
      </c>
    </row>
    <row r="183">
      <c r="A183" s="1" t="s">
        <v>183</v>
      </c>
      <c r="B183" s="2" t="str">
        <f>IFERROR(__xludf.DUMMYFUNCTION("GOOGLETRANSLATE(A183,""ko"",""en"")"),"husband")</f>
        <v>husband</v>
      </c>
    </row>
    <row r="184">
      <c r="A184" s="1" t="s">
        <v>184</v>
      </c>
      <c r="B184" s="2" t="str">
        <f>IFERROR(__xludf.DUMMYFUNCTION("GOOGLETRANSLATE(A184,""ko"",""en"")"),"Come in")</f>
        <v>Come in</v>
      </c>
    </row>
    <row r="185">
      <c r="A185" s="1" t="s">
        <v>185</v>
      </c>
      <c r="B185" s="2" t="str">
        <f>IFERROR(__xludf.DUMMYFUNCTION("GOOGLETRANSLATE(A185,""ko"",""en"")"),"Outside")</f>
        <v>Outside</v>
      </c>
    </row>
    <row r="186">
      <c r="A186" s="1" t="s">
        <v>186</v>
      </c>
      <c r="B186" s="2" t="str">
        <f>IFERROR(__xludf.DUMMYFUNCTION("GOOGLETRANSLATE(A186,""ko"",""en"")"),"world")</f>
        <v>world</v>
      </c>
    </row>
    <row r="187">
      <c r="A187" s="1" t="s">
        <v>187</v>
      </c>
      <c r="B187" s="2" t="str">
        <f>IFERROR(__xludf.DUMMYFUNCTION("GOOGLETRANSLATE(A187,""ko"",""en"")"),"be small")</f>
        <v>be small</v>
      </c>
    </row>
    <row r="188">
      <c r="A188" s="1" t="s">
        <v>188</v>
      </c>
      <c r="B188" s="2" t="str">
        <f>IFERROR(__xludf.DUMMYFUNCTION("GOOGLETRANSLATE(A188,""ko"",""en"")"),"university")</f>
        <v>university</v>
      </c>
    </row>
    <row r="189">
      <c r="A189" s="1" t="s">
        <v>189</v>
      </c>
      <c r="B189" s="2" t="str">
        <f>IFERROR(__xludf.DUMMYFUNCTION("GOOGLETRANSLATE(A189,""ko"",""en"")"),"work")</f>
        <v>work</v>
      </c>
    </row>
    <row r="190">
      <c r="A190" s="1" t="s">
        <v>190</v>
      </c>
      <c r="B190" s="2" t="str">
        <f>IFERROR(__xludf.DUMMYFUNCTION("GOOGLETRANSLATE(A190,""ko"",""en"")"),"situation")</f>
        <v>situation</v>
      </c>
    </row>
    <row r="191">
      <c r="A191" s="1" t="s">
        <v>191</v>
      </c>
      <c r="B191" s="2" t="str">
        <f>IFERROR(__xludf.DUMMYFUNCTION("GOOGLETRANSLATE(A191,""ko"",""en"")"),"middle")</f>
        <v>middle</v>
      </c>
    </row>
    <row r="192">
      <c r="A192" s="1" t="s">
        <v>192</v>
      </c>
      <c r="B192" s="2" t="str">
        <f>IFERROR(__xludf.DUMMYFUNCTION("GOOGLETRANSLATE(A192,""ko"",""en"")"),"let go")</f>
        <v>let go</v>
      </c>
    </row>
    <row r="193">
      <c r="A193" s="1" t="s">
        <v>193</v>
      </c>
      <c r="B193" s="2" t="str">
        <f>IFERROR(__xludf.DUMMYFUNCTION("GOOGLETRANSLATE(A193,""ko"",""en"")"),"in other words")</f>
        <v>in other words</v>
      </c>
    </row>
    <row r="194">
      <c r="A194" s="1" t="s">
        <v>194</v>
      </c>
      <c r="B194" s="2" t="str">
        <f>IFERROR(__xludf.DUMMYFUNCTION("GOOGLETRANSLATE(A194,""ko"",""en"")"),"thus")</f>
        <v>thus</v>
      </c>
    </row>
    <row r="195">
      <c r="A195" s="1" t="s">
        <v>195</v>
      </c>
      <c r="B195" s="2" t="str">
        <f>IFERROR(__xludf.DUMMYFUNCTION("GOOGLETRANSLATE(A195,""ko"",""en"")"),"situation")</f>
        <v>situation</v>
      </c>
    </row>
    <row r="196">
      <c r="A196" s="1" t="s">
        <v>196</v>
      </c>
      <c r="B196" s="2" t="str">
        <f>IFERROR(__xludf.DUMMYFUNCTION("GOOGLETRANSLATE(A196,""ko"",""en"")"),"since")</f>
        <v>since</v>
      </c>
    </row>
    <row r="197">
      <c r="A197" s="1" t="s">
        <v>197</v>
      </c>
      <c r="B197" s="2" t="str">
        <f>IFERROR(__xludf.DUMMYFUNCTION("GOOGLETRANSLATE(A197,""ko"",""en"")"),"at that time")</f>
        <v>at that time</v>
      </c>
    </row>
    <row r="198">
      <c r="A198" s="1" t="s">
        <v>198</v>
      </c>
      <c r="B198" s="2" t="str">
        <f>IFERROR(__xludf.DUMMYFUNCTION("GOOGLETRANSLATE(A198,""ko"",""en"")"),"literature")</f>
        <v>literature</v>
      </c>
    </row>
    <row r="199">
      <c r="A199" s="1" t="s">
        <v>199</v>
      </c>
      <c r="B199" s="2" t="str">
        <f>IFERROR(__xludf.DUMMYFUNCTION("GOOGLETRANSLATE(A199,""ko"",""en"")"),"more")</f>
        <v>more</v>
      </c>
    </row>
    <row r="200">
      <c r="A200" s="1" t="s">
        <v>200</v>
      </c>
      <c r="B200" s="2" t="str">
        <f>IFERROR(__xludf.DUMMYFUNCTION("GOOGLETRANSLATE(A200,""ko"",""en"")"),"very")</f>
        <v>very</v>
      </c>
    </row>
    <row r="201">
      <c r="A201" s="1" t="s">
        <v>201</v>
      </c>
      <c r="B201" s="2" t="str">
        <f>IFERROR(__xludf.DUMMYFUNCTION("GOOGLETRANSLATE(A201,""ko"",""en"")"),"be high")</f>
        <v>be high</v>
      </c>
    </row>
    <row r="202">
      <c r="A202" s="1" t="s">
        <v>202</v>
      </c>
      <c r="B202" s="2" t="str">
        <f>IFERROR(__xludf.DUMMYFUNCTION("GOOGLETRANSLATE(A202,""ko"",""en"")"),"recent")</f>
        <v>recent</v>
      </c>
    </row>
    <row r="203">
      <c r="A203" s="1" t="s">
        <v>203</v>
      </c>
      <c r="B203" s="2" t="str">
        <f>IFERROR(__xludf.DUMMYFUNCTION("GOOGLETRANSLATE(A203,""ko"",""en"")"),"reality")</f>
        <v>reality</v>
      </c>
    </row>
    <row r="204">
      <c r="A204" s="1" t="s">
        <v>204</v>
      </c>
      <c r="B204" s="2" t="str">
        <f>IFERROR(__xludf.DUMMYFUNCTION("GOOGLETRANSLATE(A204,""ko"",""en"")"),"environment")</f>
        <v>environment</v>
      </c>
    </row>
    <row r="205">
      <c r="A205" s="1" t="s">
        <v>205</v>
      </c>
      <c r="B205" s="2" t="str">
        <f>IFERROR(__xludf.DUMMYFUNCTION("GOOGLETRANSLATE(A205,""ko"",""en"")"),"computer")</f>
        <v>computer</v>
      </c>
    </row>
    <row r="206">
      <c r="A206" s="1" t="s">
        <v>206</v>
      </c>
      <c r="B206" s="2" t="str">
        <f>IFERROR(__xludf.DUMMYFUNCTION("GOOGLETRANSLATE(A206,""ko"",""en"")"),"first")</f>
        <v>first</v>
      </c>
    </row>
    <row r="207">
      <c r="A207" s="1" t="s">
        <v>207</v>
      </c>
      <c r="B207" s="2" t="str">
        <f>IFERROR(__xludf.DUMMYFUNCTION("GOOGLETRANSLATE(A207,""ko"",""en"")"),"go")</f>
        <v>go</v>
      </c>
    </row>
    <row r="208">
      <c r="A208" s="1" t="s">
        <v>208</v>
      </c>
      <c r="B208" s="2" t="str">
        <f>IFERROR(__xludf.DUMMYFUNCTION("GOOGLETRANSLATE(A208,""ko"",""en"")"),"how much")</f>
        <v>how much</v>
      </c>
    </row>
    <row r="209">
      <c r="A209" s="1" t="s">
        <v>209</v>
      </c>
      <c r="B209" s="2" t="str">
        <f>IFERROR(__xludf.DUMMYFUNCTION("GOOGLETRANSLATE(A209,""ko"",""en"")"),"Self")</f>
        <v>Self</v>
      </c>
    </row>
    <row r="210">
      <c r="A210" s="1" t="s">
        <v>210</v>
      </c>
      <c r="B210" s="2" t="str">
        <f>IFERROR(__xludf.DUMMYFUNCTION("GOOGLETRANSLATE(A210,""ko"",""en"")"),"open")</f>
        <v>open</v>
      </c>
    </row>
    <row r="211">
      <c r="A211" s="1" t="s">
        <v>211</v>
      </c>
      <c r="B211" s="2" t="str">
        <f>IFERROR(__xludf.DUMMYFUNCTION("GOOGLETRANSLATE(A211,""ko"",""en"")"),"head")</f>
        <v>head</v>
      </c>
    </row>
    <row r="212">
      <c r="A212" s="1" t="s">
        <v>212</v>
      </c>
      <c r="B212" s="2" t="str">
        <f>IFERROR(__xludf.DUMMYFUNCTION("GOOGLETRANSLATE(A212,""ko"",""en"")"),"remain")</f>
        <v>remain</v>
      </c>
    </row>
    <row r="213">
      <c r="A213" s="1" t="s">
        <v>213</v>
      </c>
      <c r="B213" s="2" t="str">
        <f>IFERROR(__xludf.DUMMYFUNCTION("GOOGLETRANSLATE(A213,""ko"",""en"")"),"part time job")</f>
        <v>part time job</v>
      </c>
    </row>
    <row r="214">
      <c r="A214" s="1" t="s">
        <v>214</v>
      </c>
      <c r="B214" s="2" t="str">
        <f>IFERROR(__xludf.DUMMYFUNCTION("GOOGLETRANSLATE(A214,""ko"",""en"")"),"enterprise")</f>
        <v>enterprise</v>
      </c>
    </row>
    <row r="215">
      <c r="A215" s="1" t="s">
        <v>215</v>
      </c>
      <c r="B215" s="2" t="str">
        <f>IFERROR(__xludf.DUMMYFUNCTION("GOOGLETRANSLATE(A215,""ko"",""en"")"),"there")</f>
        <v>there</v>
      </c>
    </row>
    <row r="216">
      <c r="A216" s="1" t="s">
        <v>216</v>
      </c>
      <c r="B216" s="2" t="str">
        <f>IFERROR(__xludf.DUMMYFUNCTION("GOOGLETRANSLATE(A216,""ko"",""en"")"),"change")</f>
        <v>change</v>
      </c>
    </row>
    <row r="217">
      <c r="A217" s="1" t="s">
        <v>217</v>
      </c>
      <c r="B217" s="2" t="str">
        <f>IFERROR(__xludf.DUMMYFUNCTION("GOOGLETRANSLATE(A217,""ko"",""en"")"),"son")</f>
        <v>son</v>
      </c>
    </row>
    <row r="218">
      <c r="A218" s="1" t="s">
        <v>218</v>
      </c>
      <c r="B218" s="2" t="str">
        <f>IFERROR(__xludf.DUMMYFUNCTION("GOOGLETRANSLATE(A218,""ko"",""en"")"),"meaning")</f>
        <v>meaning</v>
      </c>
    </row>
    <row r="219">
      <c r="A219" s="1" t="s">
        <v>219</v>
      </c>
      <c r="B219" s="2" t="str">
        <f>IFERROR(__xludf.DUMMYFUNCTION("GOOGLETRANSLATE(A219,""ko"",""en"")"),"ah")</f>
        <v>ah</v>
      </c>
    </row>
    <row r="220">
      <c r="A220" s="1" t="s">
        <v>220</v>
      </c>
      <c r="B220" s="2" t="str">
        <f>IFERROR(__xludf.DUMMYFUNCTION("GOOGLETRANSLATE(A220,""ko"",""en"")"),"wait")</f>
        <v>wait</v>
      </c>
    </row>
    <row r="221">
      <c r="A221" s="1" t="s">
        <v>221</v>
      </c>
      <c r="B221" s="2" t="str">
        <f>IFERROR(__xludf.DUMMYFUNCTION("GOOGLETRANSLATE(A221,""ko"",""en"")"),"get off")</f>
        <v>get off</v>
      </c>
    </row>
    <row r="222">
      <c r="A222" s="1" t="s">
        <v>222</v>
      </c>
      <c r="B222" s="2" t="str">
        <f>IFERROR(__xludf.DUMMYFUNCTION("GOOGLETRANSLATE(A222,""ko"",""en"")"),"election")</f>
        <v>election</v>
      </c>
    </row>
    <row r="223">
      <c r="A223" s="1" t="s">
        <v>223</v>
      </c>
      <c r="B223" s="2" t="str">
        <f>IFERROR(__xludf.DUMMYFUNCTION("GOOGLETRANSLATE(A223,""ko"",""en"")"),"Observe")</f>
        <v>Observe</v>
      </c>
    </row>
    <row r="224">
      <c r="A224" s="1" t="s">
        <v>224</v>
      </c>
      <c r="B224" s="2" t="str">
        <f>IFERROR(__xludf.DUMMYFUNCTION("GOOGLETRANSLATE(A224,""ko"",""en"")"),"just")</f>
        <v>just</v>
      </c>
    </row>
    <row r="225">
      <c r="A225" s="1" t="s">
        <v>225</v>
      </c>
      <c r="B225" s="2" t="str">
        <f>IFERROR(__xludf.DUMMYFUNCTION("GOOGLETRANSLATE(A225,""ko"",""en"")"),"divide")</f>
        <v>divide</v>
      </c>
    </row>
    <row r="226">
      <c r="A226" s="1" t="s">
        <v>226</v>
      </c>
      <c r="B226" s="2" t="str">
        <f>IFERROR(__xludf.DUMMYFUNCTION("GOOGLETRANSLATE(A226,""ko"",""en"")"),"Use")</f>
        <v>Use</v>
      </c>
    </row>
    <row r="227">
      <c r="A227" s="1" t="s">
        <v>227</v>
      </c>
      <c r="B227" s="2" t="str">
        <f>IFERROR(__xludf.DUMMYFUNCTION("GOOGLETRANSLATE(A227,""ko"",""en"")"),"almost")</f>
        <v>almost</v>
      </c>
    </row>
    <row r="228">
      <c r="A228" s="1" t="s">
        <v>228</v>
      </c>
      <c r="B228" s="2" t="str">
        <f>IFERROR(__xludf.DUMMYFUNCTION("GOOGLETRANSLATE(A228,""ko"",""en"")"),"soon")</f>
        <v>soon</v>
      </c>
    </row>
    <row r="229">
      <c r="A229" s="1" t="s">
        <v>229</v>
      </c>
      <c r="B229" s="2" t="str">
        <f>IFERROR(__xludf.DUMMYFUNCTION("GOOGLETRANSLATE(A229,""ko"",""en"")"),"center")</f>
        <v>center</v>
      </c>
    </row>
    <row r="230">
      <c r="A230" s="1" t="s">
        <v>230</v>
      </c>
      <c r="B230" s="2" t="str">
        <f>IFERROR(__xludf.DUMMYFUNCTION("GOOGLETRANSLATE(A230,""ko"",""en"")"),"activity")</f>
        <v>activity</v>
      </c>
    </row>
    <row r="231">
      <c r="A231" s="1" t="s">
        <v>231</v>
      </c>
      <c r="B231" s="2" t="str">
        <f>IFERROR(__xludf.DUMMYFUNCTION("GOOGLETRANSLATE(A231,""ko"",""en"")"),"interest")</f>
        <v>interest</v>
      </c>
    </row>
    <row r="232">
      <c r="A232" s="1" t="s">
        <v>232</v>
      </c>
      <c r="B232" s="2" t="str">
        <f>IFERROR(__xludf.DUMMYFUNCTION("GOOGLETRANSLATE(A232,""ko"",""en"")"),"also")</f>
        <v>also</v>
      </c>
    </row>
    <row r="233">
      <c r="A233" s="1" t="s">
        <v>233</v>
      </c>
      <c r="B233" s="2" t="str">
        <f>IFERROR(__xludf.DUMMYFUNCTION("GOOGLETRANSLATE(A233,""ko"",""en"")"),"this")</f>
        <v>this</v>
      </c>
    </row>
    <row r="234">
      <c r="A234" s="1" t="s">
        <v>234</v>
      </c>
      <c r="B234" s="2" t="str">
        <f>IFERROR(__xludf.DUMMYFUNCTION("GOOGLETRANSLATE(A234,""ko"",""en"")"),"advertisement")</f>
        <v>advertisement</v>
      </c>
    </row>
    <row r="235">
      <c r="A235" s="1" t="s">
        <v>235</v>
      </c>
      <c r="B235" s="2" t="str">
        <f>IFERROR(__xludf.DUMMYFUNCTION("GOOGLETRANSLATE(A235,""ko"",""en"")"),"grow")</f>
        <v>grow</v>
      </c>
    </row>
    <row r="236">
      <c r="A236" s="1" t="s">
        <v>236</v>
      </c>
      <c r="B236" s="2" t="str">
        <f>IFERROR(__xludf.DUMMYFUNCTION("GOOGLETRANSLATE(A236,""ko"",""en"")"),"room")</f>
        <v>room</v>
      </c>
    </row>
    <row r="237">
      <c r="A237" s="1" t="s">
        <v>237</v>
      </c>
      <c r="B237" s="2" t="str">
        <f>IFERROR(__xludf.DUMMYFUNCTION("GOOGLETRANSLATE(A237,""ko"",""en"")"),"spirit")</f>
        <v>spirit</v>
      </c>
    </row>
    <row r="238">
      <c r="A238" s="1" t="s">
        <v>238</v>
      </c>
      <c r="B238" s="2" t="str">
        <f>IFERROR(__xludf.DUMMYFUNCTION("GOOGLETRANSLATE(A238,""ko"",""en"")"),"earth")</f>
        <v>earth</v>
      </c>
    </row>
    <row r="239">
      <c r="A239" s="1" t="s">
        <v>239</v>
      </c>
      <c r="B239" s="2" t="str">
        <f>IFERROR(__xludf.DUMMYFUNCTION("GOOGLETRANSLATE(A239,""ko"",""en"")"),"make")</f>
        <v>make</v>
      </c>
    </row>
    <row r="240">
      <c r="A240" s="1" t="s">
        <v>240</v>
      </c>
      <c r="B240" s="2" t="str">
        <f>IFERROR(__xludf.DUMMYFUNCTION("GOOGLETRANSLATE(A240,""ko"",""en"")"),"morning")</f>
        <v>morning</v>
      </c>
    </row>
    <row r="241">
      <c r="A241" s="1" t="s">
        <v>241</v>
      </c>
      <c r="B241" s="2" t="str">
        <f>IFERROR(__xludf.DUMMYFUNCTION("GOOGLETRANSLATE(A241,""ko"",""en"")"),"laugh")</f>
        <v>laugh</v>
      </c>
    </row>
    <row r="242">
      <c r="A242" s="1" t="s">
        <v>242</v>
      </c>
      <c r="B242" s="2" t="str">
        <f>IFERROR(__xludf.DUMMYFUNCTION("GOOGLETRANSLATE(A242,""ko"",""en"")"),"phenomenon")</f>
        <v>phenomenon</v>
      </c>
    </row>
    <row r="243">
      <c r="A243" s="1" t="s">
        <v>243</v>
      </c>
      <c r="B243" s="2" t="str">
        <f>IFERROR(__xludf.DUMMYFUNCTION("GOOGLETRANSLATE(A243,""ko"",""en"")"),"lay")</f>
        <v>lay</v>
      </c>
    </row>
    <row r="244">
      <c r="A244" s="1" t="s">
        <v>244</v>
      </c>
      <c r="B244" s="2" t="str">
        <f>IFERROR(__xludf.DUMMYFUNCTION("GOOGLETRANSLATE(A244,""ko"",""en"")"),"leave")</f>
        <v>leave</v>
      </c>
    </row>
    <row r="245">
      <c r="A245" s="1" t="s">
        <v>245</v>
      </c>
      <c r="B245" s="2" t="str">
        <f>IFERROR(__xludf.DUMMYFUNCTION("GOOGLETRANSLATE(A245,""ko"",""en"")"),"technology")</f>
        <v>technology</v>
      </c>
    </row>
    <row r="246">
      <c r="A246" s="1" t="s">
        <v>246</v>
      </c>
      <c r="B246" s="2" t="str">
        <f>IFERROR(__xludf.DUMMYFUNCTION("GOOGLETRANSLATE(A246,""ko"",""en"")"),"entire")</f>
        <v>entire</v>
      </c>
    </row>
    <row r="247">
      <c r="A247" s="1" t="s">
        <v>247</v>
      </c>
      <c r="B247" s="2" t="str">
        <f>IFERROR(__xludf.DUMMYFUNCTION("GOOGLETRANSLATE(A247,""ko"",""en"")"),"get")</f>
        <v>get</v>
      </c>
    </row>
    <row r="248">
      <c r="A248" s="1" t="s">
        <v>248</v>
      </c>
      <c r="B248" s="2" t="str">
        <f>IFERROR(__xludf.DUMMYFUNCTION("GOOGLETRANSLATE(A248,""ko"",""en"")"),"beautiful")</f>
        <v>beautiful</v>
      </c>
    </row>
    <row r="249">
      <c r="A249" s="1" t="s">
        <v>249</v>
      </c>
      <c r="B249" s="2" t="str">
        <f>IFERROR(__xludf.DUMMYFUNCTION("GOOGLETRANSLATE(A249,""ko"",""en"")"),"end")</f>
        <v>end</v>
      </c>
    </row>
    <row r="250">
      <c r="A250" s="1" t="s">
        <v>250</v>
      </c>
      <c r="B250" s="2" t="str">
        <f>IFERROR(__xludf.DUMMYFUNCTION("GOOGLETRANSLATE(A250,""ko"",""en"")"),"nation")</f>
        <v>nation</v>
      </c>
    </row>
    <row r="251">
      <c r="A251" s="1" t="s">
        <v>251</v>
      </c>
      <c r="B251" s="2" t="str">
        <f>IFERROR(__xludf.DUMMYFUNCTION("GOOGLETRANSLATE(A251,""ko"",""en"")"),"inspection")</f>
        <v>inspection</v>
      </c>
    </row>
    <row r="252">
      <c r="A252" s="1" t="s">
        <v>252</v>
      </c>
      <c r="B252" s="2" t="str">
        <f>IFERROR(__xludf.DUMMYFUNCTION("GOOGLETRANSLATE(A252,""ko"",""en"")"),"Seems")</f>
        <v>Seems</v>
      </c>
    </row>
    <row r="253">
      <c r="A253" s="1" t="s">
        <v>253</v>
      </c>
      <c r="B253" s="2" t="str">
        <f>IFERROR(__xludf.DUMMYFUNCTION("GOOGLETRANSLATE(A253,""ko"",""en"")"),"mouth")</f>
        <v>mouth</v>
      </c>
    </row>
    <row r="254">
      <c r="A254" s="1" t="s">
        <v>254</v>
      </c>
      <c r="B254" s="2" t="str">
        <f>IFERROR(__xludf.DUMMYFUNCTION("GOOGLETRANSLATE(A254,""ko"",""en"")"),"what")</f>
        <v>what</v>
      </c>
    </row>
    <row r="255">
      <c r="A255" s="1" t="s">
        <v>255</v>
      </c>
      <c r="B255" s="2" t="str">
        <f>IFERROR(__xludf.DUMMYFUNCTION("GOOGLETRANSLATE(A255,""ko"",""en"")"),"like that")</f>
        <v>like that</v>
      </c>
    </row>
    <row r="256">
      <c r="A256" s="1" t="s">
        <v>256</v>
      </c>
      <c r="B256" s="2" t="str">
        <f>IFERROR(__xludf.DUMMYFUNCTION("GOOGLETRANSLATE(A256,""ko"",""en"")"),"movie")</f>
        <v>movie</v>
      </c>
    </row>
    <row r="257">
      <c r="A257" s="1" t="s">
        <v>257</v>
      </c>
      <c r="B257" s="2" t="str">
        <f>IFERROR(__xludf.DUMMYFUNCTION("GOOGLETRANSLATE(A257,""ko"",""en"")"),"necessary")</f>
        <v>necessary</v>
      </c>
    </row>
    <row r="258">
      <c r="A258" s="1" t="s">
        <v>258</v>
      </c>
      <c r="B258" s="2" t="str">
        <f>IFERROR(__xludf.DUMMYFUNCTION("GOOGLETRANSLATE(A258,""ko"",""en"")"),"sky")</f>
        <v>sky</v>
      </c>
    </row>
    <row r="259">
      <c r="A259" s="1" t="s">
        <v>259</v>
      </c>
      <c r="B259" s="2" t="str">
        <f>IFERROR(__xludf.DUMMYFUNCTION("GOOGLETRANSLATE(A259,""ko"",""en"")"),"Years")</f>
        <v>Years</v>
      </c>
    </row>
    <row r="260">
      <c r="A260" s="1" t="s">
        <v>260</v>
      </c>
      <c r="B260" s="2" t="str">
        <f>IFERROR(__xludf.DUMMYFUNCTION("GOOGLETRANSLATE(A260,""ko"",""en"")"),"science")</f>
        <v>science</v>
      </c>
    </row>
    <row r="261">
      <c r="A261" s="1" t="s">
        <v>261</v>
      </c>
      <c r="B261" s="2" t="str">
        <f>IFERROR(__xludf.DUMMYFUNCTION("GOOGLETRANSLATE(A261,""ko"",""en"")"),"look like")</f>
        <v>look like</v>
      </c>
    </row>
    <row r="262">
      <c r="A262" s="1" t="s">
        <v>262</v>
      </c>
      <c r="B262" s="2" t="str">
        <f>IFERROR(__xludf.DUMMYFUNCTION("GOOGLETRANSLATE(A262,""ko"",""en"")"),"nature")</f>
        <v>nature</v>
      </c>
    </row>
    <row r="263">
      <c r="A263" s="1" t="s">
        <v>263</v>
      </c>
      <c r="B263" s="2" t="str">
        <f>IFERROR(__xludf.DUMMYFUNCTION("GOOGLETRANSLATE(A263,""ko"",""en"")"),"structure")</f>
        <v>structure</v>
      </c>
    </row>
    <row r="264">
      <c r="A264" s="1" t="s">
        <v>264</v>
      </c>
      <c r="B264" s="2" t="str">
        <f>IFERROR(__xludf.DUMMYFUNCTION("GOOGLETRANSLATE(A264,""ko"",""en"")"),"at last")</f>
        <v>at last</v>
      </c>
    </row>
    <row r="265">
      <c r="A265" s="1" t="s">
        <v>265</v>
      </c>
      <c r="B265" s="2" t="str">
        <f>IFERROR(__xludf.DUMMYFUNCTION("GOOGLETRANSLATE(A265,""ko"",""en"")"),"rice")</f>
        <v>rice</v>
      </c>
    </row>
    <row r="266">
      <c r="A266" s="1" t="s">
        <v>266</v>
      </c>
      <c r="B266" s="2" t="str">
        <f>IFERROR(__xludf.DUMMYFUNCTION("GOOGLETRANSLATE(A266,""ko"",""en"")"),"put on")</f>
        <v>put on</v>
      </c>
    </row>
    <row r="267">
      <c r="A267" s="1" t="s">
        <v>267</v>
      </c>
      <c r="B267" s="2" t="str">
        <f>IFERROR(__xludf.DUMMYFUNCTION("GOOGLETRANSLATE(A267,""ko"",""en"")"),"rather")</f>
        <v>rather</v>
      </c>
    </row>
    <row r="268">
      <c r="A268" s="1" t="s">
        <v>268</v>
      </c>
      <c r="B268" s="2" t="str">
        <f>IFERROR(__xludf.DUMMYFUNCTION("GOOGLETRANSLATE(A268,""ko"",""en"")"),"program")</f>
        <v>program</v>
      </c>
    </row>
    <row r="269">
      <c r="A269" s="1" t="s">
        <v>269</v>
      </c>
      <c r="B269" s="2" t="str">
        <f>IFERROR(__xludf.DUMMYFUNCTION("GOOGLETRANSLATE(A269,""ko"",""en"")"),"be accomplished")</f>
        <v>be accomplished</v>
      </c>
    </row>
    <row r="270">
      <c r="A270" s="1" t="s">
        <v>270</v>
      </c>
      <c r="B270" s="2" t="str">
        <f>IFERROR(__xludf.DUMMYFUNCTION("GOOGLETRANSLATE(A270,""ko"",""en"")"),"day")</f>
        <v>day</v>
      </c>
    </row>
    <row r="271">
      <c r="A271" s="1" t="s">
        <v>271</v>
      </c>
      <c r="B271" s="2" t="str">
        <f>IFERROR(__xludf.DUMMYFUNCTION("GOOGLETRANSLATE(A271,""ko"",""en"")"),"painting")</f>
        <v>painting</v>
      </c>
    </row>
    <row r="272">
      <c r="A272" s="1" t="s">
        <v>272</v>
      </c>
      <c r="B272" s="2" t="str">
        <f>IFERROR(__xludf.DUMMYFUNCTION("GOOGLETRANSLATE(A272,""ko"",""en"")"),"drink")</f>
        <v>drink</v>
      </c>
    </row>
    <row r="273">
      <c r="A273" s="1" t="s">
        <v>273</v>
      </c>
      <c r="B273" s="2" t="str">
        <f>IFERROR(__xludf.DUMMYFUNCTION("GOOGLETRANSLATE(A273,""ko"",""en"")"),"alone")</f>
        <v>alone</v>
      </c>
    </row>
    <row r="274">
      <c r="A274" s="1" t="s">
        <v>274</v>
      </c>
      <c r="B274" s="2" t="str">
        <f>IFERROR(__xludf.DUMMYFUNCTION("GOOGLETRANSLATE(A274,""ko"",""en"")"),"go out")</f>
        <v>go out</v>
      </c>
    </row>
    <row r="275">
      <c r="A275" s="1" t="s">
        <v>275</v>
      </c>
      <c r="B275" s="2" t="str">
        <f>IFERROR(__xludf.DUMMYFUNCTION("GOOGLETRANSLATE(A275,""ko"",""en"")"),"now")</f>
        <v>now</v>
      </c>
    </row>
    <row r="276">
      <c r="A276" s="1" t="s">
        <v>276</v>
      </c>
      <c r="B276" s="2" t="str">
        <f>IFERROR(__xludf.DUMMYFUNCTION("GOOGLETRANSLATE(A276,""ko"",""en"")"),"professor")</f>
        <v>professor</v>
      </c>
    </row>
    <row r="277">
      <c r="A277" s="1" t="s">
        <v>277</v>
      </c>
      <c r="B277" s="2" t="str">
        <f>IFERROR(__xludf.DUMMYFUNCTION("GOOGLETRANSLATE(A277,""ko"",""en"")"),"love")</f>
        <v>love</v>
      </c>
    </row>
    <row r="278">
      <c r="A278" s="1" t="s">
        <v>278</v>
      </c>
      <c r="B278" s="2" t="str">
        <f>IFERROR(__xludf.DUMMYFUNCTION("GOOGLETRANSLATE(A278,""ko"",""en"")"),"phone call")</f>
        <v>phone call</v>
      </c>
    </row>
    <row r="279">
      <c r="A279" s="1" t="s">
        <v>279</v>
      </c>
      <c r="B279" s="2" t="str">
        <f>IFERROR(__xludf.DUMMYFUNCTION("GOOGLETRANSLATE(A279,""ko"",""en"")"),"end")</f>
        <v>end</v>
      </c>
    </row>
    <row r="280">
      <c r="A280" s="1" t="s">
        <v>280</v>
      </c>
      <c r="B280" s="2" t="str">
        <f>IFERROR(__xludf.DUMMYFUNCTION("GOOGLETRANSLATE(A280,""ko"",""en"")"),"Come back")</f>
        <v>Come back</v>
      </c>
    </row>
    <row r="281">
      <c r="A281" s="1" t="s">
        <v>281</v>
      </c>
      <c r="B281" s="2" t="str">
        <f>IFERROR(__xludf.DUMMYFUNCTION("GOOGLETRANSLATE(A281,""ko"",""en"")"),"dad")</f>
        <v>dad</v>
      </c>
    </row>
    <row r="282">
      <c r="A282" s="1" t="s">
        <v>282</v>
      </c>
      <c r="B282" s="2" t="str">
        <f>IFERROR(__xludf.DUMMYFUNCTION("GOOGLETRANSLATE(A282,""ko"",""en"")"),"hang")</f>
        <v>hang</v>
      </c>
    </row>
    <row r="283">
      <c r="A283" s="1" t="s">
        <v>283</v>
      </c>
      <c r="B283" s="2" t="str">
        <f>IFERROR(__xludf.DUMMYFUNCTION("GOOGLETRANSLATE(A283,""ko"",""en"")"),"protect")</f>
        <v>protect</v>
      </c>
    </row>
    <row r="284">
      <c r="A284" s="1" t="s">
        <v>284</v>
      </c>
      <c r="B284" s="2" t="str">
        <f>IFERROR(__xludf.DUMMYFUNCTION("GOOGLETRANSLATE(A284,""ko"",""en"")"),"once")</f>
        <v>once</v>
      </c>
    </row>
    <row r="285">
      <c r="A285" s="1" t="s">
        <v>285</v>
      </c>
      <c r="B285" s="2" t="str">
        <f>IFERROR(__xludf.DUMMYFUNCTION("GOOGLETRANSLATE(A285,""ko"",""en"")"),"coffee")</f>
        <v>coffee</v>
      </c>
    </row>
    <row r="286">
      <c r="A286" s="1" t="s">
        <v>286</v>
      </c>
      <c r="B286" s="2" t="str">
        <f>IFERROR(__xludf.DUMMYFUNCTION("GOOGLETRANSLATE(A286,""ko"",""en"")"),"chest")</f>
        <v>chest</v>
      </c>
    </row>
    <row r="287">
      <c r="A287" s="1" t="s">
        <v>287</v>
      </c>
      <c r="B287" s="2" t="str">
        <f>IFERROR(__xludf.DUMMYFUNCTION("GOOGLETRANSLATE(A287,""ko"",""en"")"),"Long")</f>
        <v>Long</v>
      </c>
    </row>
    <row r="288">
      <c r="A288" s="1" t="s">
        <v>288</v>
      </c>
      <c r="B288" s="2" t="str">
        <f>IFERROR(__xludf.DUMMYFUNCTION("GOOGLETRANSLATE(A288,""ko"",""en"")"),"Look at")</f>
        <v>Look at</v>
      </c>
    </row>
    <row r="289">
      <c r="A289" s="1" t="s">
        <v>289</v>
      </c>
      <c r="B289" s="2" t="str">
        <f>IFERROR(__xludf.DUMMYFUNCTION("GOOGLETRANSLATE(A289,""ko"",""en"")"),"Find out")</f>
        <v>Find out</v>
      </c>
    </row>
    <row r="290">
      <c r="A290" s="1" t="s">
        <v>290</v>
      </c>
      <c r="B290" s="2" t="str">
        <f>IFERROR(__xludf.DUMMYFUNCTION("GOOGLETRANSLATE(A290,""ko"",""en"")"),"company")</f>
        <v>company</v>
      </c>
    </row>
    <row r="291">
      <c r="A291" s="1" t="s">
        <v>291</v>
      </c>
      <c r="B291" s="2" t="str">
        <f>IFERROR(__xludf.DUMMYFUNCTION("GOOGLETRANSLATE(A291,""ko"",""en"")"),"taste")</f>
        <v>taste</v>
      </c>
    </row>
    <row r="292">
      <c r="A292" s="1" t="s">
        <v>292</v>
      </c>
      <c r="B292" s="2" t="str">
        <f>IFERROR(__xludf.DUMMYFUNCTION("GOOGLETRANSLATE(A292,""ko"",""en"")"),"mostly")</f>
        <v>mostly</v>
      </c>
    </row>
    <row r="293">
      <c r="A293" s="1" t="s">
        <v>293</v>
      </c>
      <c r="B293" s="2" t="str">
        <f>IFERROR(__xludf.DUMMYFUNCTION("GOOGLETRANSLATE(A293,""ko"",""en"")"),"industry")</f>
        <v>industry</v>
      </c>
    </row>
    <row r="294">
      <c r="A294" s="1" t="s">
        <v>294</v>
      </c>
      <c r="B294" s="2" t="str">
        <f>IFERROR(__xludf.DUMMYFUNCTION("GOOGLETRANSLATE(A294,""ko"",""en"")"),"very")</f>
        <v>very</v>
      </c>
    </row>
    <row r="295">
      <c r="A295" s="1" t="s">
        <v>295</v>
      </c>
      <c r="B295" s="2" t="str">
        <f>IFERROR(__xludf.DUMMYFUNCTION("GOOGLETRANSLATE(A295,""ko"",""en"")"),"rise")</f>
        <v>rise</v>
      </c>
    </row>
    <row r="296">
      <c r="A296" s="1" t="s">
        <v>296</v>
      </c>
      <c r="B296" s="2" t="str">
        <f>IFERROR(__xludf.DUMMYFUNCTION("GOOGLETRANSLATE(A296,""ko"",""en"")"),"food")</f>
        <v>food</v>
      </c>
    </row>
    <row r="297">
      <c r="A297" s="1" t="s">
        <v>297</v>
      </c>
      <c r="B297" s="2" t="str">
        <f>IFERROR(__xludf.DUMMYFUNCTION("GOOGLETRANSLATE(A297,""ko"",""en"")"),"expression")</f>
        <v>expression</v>
      </c>
    </row>
    <row r="298">
      <c r="A298" s="1" t="s">
        <v>298</v>
      </c>
      <c r="B298" s="2" t="str">
        <f>IFERROR(__xludf.DUMMYFUNCTION("GOOGLETRANSLATE(A298,""ko"",""en"")"),"portion")</f>
        <v>portion</v>
      </c>
    </row>
    <row r="299">
      <c r="A299" s="1" t="s">
        <v>299</v>
      </c>
      <c r="B299" s="2" t="str">
        <f>IFERROR(__xludf.DUMMYFUNCTION("GOOGLETRANSLATE(A299,""ko"",""en"")"),"recently")</f>
        <v>recently</v>
      </c>
    </row>
    <row r="300">
      <c r="A300" s="1" t="s">
        <v>300</v>
      </c>
      <c r="B300" s="2" t="str">
        <f>IFERROR(__xludf.DUMMYFUNCTION("GOOGLETRANSLATE(A300,""ko"",""en"")"),"plan")</f>
        <v>plan</v>
      </c>
    </row>
    <row r="301">
      <c r="A301" s="1" t="s">
        <v>301</v>
      </c>
      <c r="B301" s="2" t="str">
        <f>IFERROR(__xludf.DUMMYFUNCTION("GOOGLETRANSLATE(A301,""ko"",""en"")"),"feel")</f>
        <v>feel</v>
      </c>
    </row>
    <row r="302">
      <c r="A302" s="1" t="s">
        <v>302</v>
      </c>
      <c r="B302" s="2" t="str">
        <f>IFERROR(__xludf.DUMMYFUNCTION("GOOGLETRANSLATE(A302,""ko"",""en"")"),"how much")</f>
        <v>how much</v>
      </c>
    </row>
    <row r="303">
      <c r="A303" s="1" t="s">
        <v>303</v>
      </c>
      <c r="B303" s="2" t="str">
        <f>IFERROR(__xludf.DUMMYFUNCTION("GOOGLETRANSLATE(A303,""ko"",""en"")"),"personality")</f>
        <v>personality</v>
      </c>
    </row>
    <row r="304">
      <c r="A304" s="1" t="s">
        <v>304</v>
      </c>
      <c r="B304" s="2" t="str">
        <f>IFERROR(__xludf.DUMMYFUNCTION("GOOGLETRANSLATE(A304,""ko"",""en"")"),"continue")</f>
        <v>continue</v>
      </c>
    </row>
    <row r="305">
      <c r="A305" s="1" t="s">
        <v>305</v>
      </c>
      <c r="B305" s="2" t="str">
        <f>IFERROR(__xludf.DUMMYFUNCTION("GOOGLETRANSLATE(A305,""ko"",""en"")"),"century")</f>
        <v>century</v>
      </c>
    </row>
    <row r="306">
      <c r="A306" s="1" t="s">
        <v>306</v>
      </c>
      <c r="B306" s="2" t="str">
        <f>IFERROR(__xludf.DUMMYFUNCTION("GOOGLETRANSLATE(A306,""ko"",""en"")"),"erect")</f>
        <v>erect</v>
      </c>
    </row>
    <row r="307">
      <c r="A307" s="1" t="s">
        <v>307</v>
      </c>
      <c r="B307" s="2" t="str">
        <f>IFERROR(__xludf.DUMMYFUNCTION("GOOGLETRANSLATE(A307,""ko"",""en"")"),"wife")</f>
        <v>wife</v>
      </c>
    </row>
    <row r="308">
      <c r="A308" s="1" t="s">
        <v>308</v>
      </c>
      <c r="B308" s="2" t="str">
        <f>IFERROR(__xludf.DUMMYFUNCTION("GOOGLETRANSLATE(A308,""ko"",""en"")"),"family")</f>
        <v>family</v>
      </c>
    </row>
    <row r="309">
      <c r="A309" s="1" t="s">
        <v>309</v>
      </c>
      <c r="B309" s="2" t="str">
        <f>IFERROR(__xludf.DUMMYFUNCTION("GOOGLETRANSLATE(A309,""ko"",""en"")"),"put")</f>
        <v>put</v>
      </c>
    </row>
    <row r="310">
      <c r="A310" s="1" t="s">
        <v>310</v>
      </c>
      <c r="B310" s="2" t="str">
        <f>IFERROR(__xludf.DUMMYFUNCTION("GOOGLETRANSLATE(A310,""ko"",""en"")"),"play")</f>
        <v>play</v>
      </c>
    </row>
    <row r="311">
      <c r="A311" s="1" t="s">
        <v>311</v>
      </c>
      <c r="B311" s="2" t="str">
        <f>IFERROR(__xludf.DUMMYFUNCTION("GOOGLETRANSLATE(A311,""ko"",""en"")"),"lean towards")</f>
        <v>lean towards</v>
      </c>
    </row>
    <row r="312">
      <c r="A312" s="1" t="s">
        <v>312</v>
      </c>
      <c r="B312" s="2" t="str">
        <f>IFERROR(__xludf.DUMMYFUNCTION("GOOGLETRANSLATE(A312,""ko"",""en"")"),"related")</f>
        <v>related</v>
      </c>
    </row>
    <row r="313">
      <c r="A313" s="1" t="s">
        <v>313</v>
      </c>
      <c r="B313" s="2" t="str">
        <f>IFERROR(__xludf.DUMMYFUNCTION("GOOGLETRANSLATE(A313,""ko"",""en"")"),"form")</f>
        <v>form</v>
      </c>
    </row>
    <row r="314">
      <c r="A314" s="1" t="s">
        <v>314</v>
      </c>
      <c r="B314" s="2" t="str">
        <f>IFERROR(__xludf.DUMMYFUNCTION("GOOGLETRANSLATE(A314,""ko"",""en"")"),"each")</f>
        <v>each</v>
      </c>
    </row>
    <row r="315">
      <c r="A315" s="1" t="s">
        <v>315</v>
      </c>
      <c r="B315" s="2" t="str">
        <f>IFERROR(__xludf.DUMMYFUNCTION("GOOGLETRANSLATE(A315,""ko"",""en"")"),"city")</f>
        <v>city</v>
      </c>
    </row>
    <row r="316">
      <c r="A316" s="1" t="s">
        <v>316</v>
      </c>
      <c r="B316" s="2" t="str">
        <f>IFERROR(__xludf.DUMMYFUNCTION("GOOGLETRANSLATE(A316,""ko"",""en"")"),"work")</f>
        <v>work</v>
      </c>
    </row>
    <row r="317">
      <c r="A317" s="1" t="s">
        <v>317</v>
      </c>
      <c r="B317" s="2" t="str">
        <f>IFERROR(__xludf.DUMMYFUNCTION("GOOGLETRANSLATE(A317,""ko"",""en"")"),"atmosphere")</f>
        <v>atmosphere</v>
      </c>
    </row>
    <row r="318">
      <c r="A318" s="1" t="s">
        <v>318</v>
      </c>
      <c r="B318" s="2" t="str">
        <f>IFERROR(__xludf.DUMMYFUNCTION("GOOGLETRANSLATE(A318,""ko"",""en"")"),"That's right")</f>
        <v>That's right</v>
      </c>
    </row>
    <row r="319">
      <c r="A319" s="1" t="s">
        <v>319</v>
      </c>
      <c r="B319" s="2" t="str">
        <f>IFERROR(__xludf.DUMMYFUNCTION("GOOGLETRANSLATE(A319,""ko"",""en"")"),"self")</f>
        <v>self</v>
      </c>
    </row>
    <row r="320">
      <c r="A320" s="1" t="s">
        <v>320</v>
      </c>
      <c r="B320" s="2" t="str">
        <f>IFERROR(__xludf.DUMMYFUNCTION("GOOGLETRANSLATE(A320,""ko"",""en"")"),"age")</f>
        <v>age</v>
      </c>
    </row>
    <row r="321">
      <c r="A321" s="1" t="s">
        <v>321</v>
      </c>
      <c r="B321" s="2" t="str">
        <f>IFERROR(__xludf.DUMMYFUNCTION("GOOGLETRANSLATE(A321,""ko"",""en"")"),"first of all")</f>
        <v>first of all</v>
      </c>
    </row>
    <row r="322">
      <c r="A322" s="1" t="s">
        <v>322</v>
      </c>
      <c r="B322" s="2" t="str">
        <f>IFERROR(__xludf.DUMMYFUNCTION("GOOGLETRANSLATE(A322,""ko"",""en"")"),"trust")</f>
        <v>trust</v>
      </c>
    </row>
    <row r="323">
      <c r="A323" s="1" t="s">
        <v>323</v>
      </c>
      <c r="B323" s="2" t="str">
        <f>IFERROR(__xludf.DUMMYFUNCTION("GOOGLETRANSLATE(A323,""ko"",""en"")"),"change")</f>
        <v>change</v>
      </c>
    </row>
    <row r="324">
      <c r="A324" s="1" t="s">
        <v>324</v>
      </c>
      <c r="B324" s="2" t="str">
        <f>IFERROR(__xludf.DUMMYFUNCTION("GOOGLETRANSLATE(A324,""ko"",""en"")"),"spawn")</f>
        <v>spawn</v>
      </c>
    </row>
    <row r="325">
      <c r="A325" s="1" t="s">
        <v>325</v>
      </c>
      <c r="B325" s="2" t="str">
        <f>IFERROR(__xludf.DUMMYFUNCTION("GOOGLETRANSLATE(A325,""ko"",""en"")"),"information")</f>
        <v>information</v>
      </c>
    </row>
    <row r="326">
      <c r="A326" s="1" t="s">
        <v>326</v>
      </c>
      <c r="B326" s="2" t="str">
        <f>IFERROR(__xludf.DUMMYFUNCTION("GOOGLETRANSLATE(A326,""ko"",""en"")"),"like")</f>
        <v>like</v>
      </c>
    </row>
    <row r="327">
      <c r="A327" s="1" t="s">
        <v>327</v>
      </c>
      <c r="B327" s="2" t="str">
        <f>IFERROR(__xludf.DUMMYFUNCTION("GOOGLETRANSLATE(A327,""ko"",""en"")"),"draw")</f>
        <v>draw</v>
      </c>
    </row>
    <row r="328">
      <c r="A328" s="1" t="s">
        <v>328</v>
      </c>
      <c r="B328" s="2" t="str">
        <f>IFERROR(__xludf.DUMMYFUNCTION("GOOGLETRANSLATE(A328,""ko"",""en"")"),"by")</f>
        <v>by</v>
      </c>
    </row>
    <row r="329">
      <c r="A329" s="1" t="s">
        <v>329</v>
      </c>
      <c r="B329" s="2" t="str">
        <f>IFERROR(__xludf.DUMMYFUNCTION("GOOGLETRANSLATE(A329,""ko"",""en"")"),"learn")</f>
        <v>learn</v>
      </c>
    </row>
    <row r="330">
      <c r="A330" s="1" t="s">
        <v>330</v>
      </c>
      <c r="B330" s="2" t="str">
        <f>IFERROR(__xludf.DUMMYFUNCTION("GOOGLETRANSLATE(A330,""ko"",""en"")"),"role")</f>
        <v>role</v>
      </c>
    </row>
    <row r="331">
      <c r="A331" s="1" t="s">
        <v>331</v>
      </c>
      <c r="B331" s="2" t="str">
        <f>IFERROR(__xludf.DUMMYFUNCTION("GOOGLETRANSLATE(A331,""ko"",""en"")"),"side")</f>
        <v>side</v>
      </c>
    </row>
    <row r="332">
      <c r="A332" s="1" t="s">
        <v>332</v>
      </c>
      <c r="B332" s="2" t="str">
        <f>IFERROR(__xludf.DUMMYFUNCTION("GOOGLETRANSLATE(A332,""ko"",""en"")"),"action")</f>
        <v>action</v>
      </c>
    </row>
    <row r="333">
      <c r="A333" s="1" t="s">
        <v>333</v>
      </c>
      <c r="B333" s="2" t="str">
        <f>IFERROR(__xludf.DUMMYFUNCTION("GOOGLETRANSLATE(A333,""ko"",""en"")"),"uh")</f>
        <v>uh</v>
      </c>
    </row>
    <row r="334">
      <c r="A334" s="1" t="s">
        <v>334</v>
      </c>
      <c r="B334" s="2" t="str">
        <f>IFERROR(__xludf.DUMMYFUNCTION("GOOGLETRANSLATE(A334,""ko"",""en"")"),"Domestic")</f>
        <v>Domestic</v>
      </c>
    </row>
    <row r="335">
      <c r="A335" s="1" t="s">
        <v>335</v>
      </c>
      <c r="B335" s="2" t="str">
        <f>IFERROR(__xludf.DUMMYFUNCTION("GOOGLETRANSLATE(A335,""ko"",""en"")"),"Rain")</f>
        <v>Rain</v>
      </c>
    </row>
    <row r="336">
      <c r="A336" s="1" t="s">
        <v>336</v>
      </c>
      <c r="B336" s="2" t="str">
        <f>IFERROR(__xludf.DUMMYFUNCTION("GOOGLETRANSLATE(A336,""ko"",""en"")"),"organ")</f>
        <v>organ</v>
      </c>
    </row>
    <row r="337">
      <c r="A337" s="1" t="s">
        <v>337</v>
      </c>
      <c r="B337" s="2" t="str">
        <f>IFERROR(__xludf.DUMMYFUNCTION("GOOGLETRANSLATE(A337,""ko"",""en"")"),"position")</f>
        <v>position</v>
      </c>
    </row>
    <row r="338">
      <c r="A338" s="1" t="s">
        <v>338</v>
      </c>
      <c r="B338" s="2" t="str">
        <f>IFERROR(__xludf.DUMMYFUNCTION("GOOGLETRANSLATE(A338,""ko"",""en"")"),"be worth")</f>
        <v>be worth</v>
      </c>
    </row>
    <row r="339">
      <c r="A339" s="1" t="s">
        <v>339</v>
      </c>
      <c r="B339" s="2" t="str">
        <f>IFERROR(__xludf.DUMMYFUNCTION("GOOGLETRANSLATE(A339,""ko"",""en"")"),"under")</f>
        <v>under</v>
      </c>
    </row>
    <row r="340">
      <c r="A340" s="1" t="s">
        <v>340</v>
      </c>
      <c r="B340" s="2" t="str">
        <f>IFERROR(__xludf.DUMMYFUNCTION("GOOGLETRANSLATE(A340,""ko"",""en"")"),"method")</f>
        <v>method</v>
      </c>
    </row>
    <row r="341">
      <c r="A341" s="1" t="s">
        <v>341</v>
      </c>
      <c r="B341" s="2" t="str">
        <f>IFERROR(__xludf.DUMMYFUNCTION("GOOGLETRANSLATE(A341,""ko"",""en"")"),"influence")</f>
        <v>influence</v>
      </c>
    </row>
    <row r="342">
      <c r="A342" s="1" t="s">
        <v>342</v>
      </c>
      <c r="B342" s="2" t="str">
        <f>IFERROR(__xludf.DUMMYFUNCTION("GOOGLETRANSLATE(A342,""ko"",""en"")"),"launch")</f>
        <v>launch</v>
      </c>
    </row>
    <row r="343">
      <c r="A343" s="1" t="s">
        <v>343</v>
      </c>
      <c r="B343" s="2" t="str">
        <f>IFERROR(__xludf.DUMMYFUNCTION("GOOGLETRANSLATE(A343,""ko"",""en"")"),"flow")</f>
        <v>flow</v>
      </c>
    </row>
    <row r="344">
      <c r="A344" s="1" t="s">
        <v>344</v>
      </c>
      <c r="B344" s="2" t="str">
        <f>IFERROR(__xludf.DUMMYFUNCTION("GOOGLETRANSLATE(A344,""ko"",""en"")"),"Deep")</f>
        <v>Deep</v>
      </c>
    </row>
    <row r="345">
      <c r="A345" s="1" t="s">
        <v>345</v>
      </c>
      <c r="B345" s="2" t="str">
        <f>IFERROR(__xludf.DUMMYFUNCTION("GOOGLETRANSLATE(A345,""ko"",""en"")"),"my")</f>
        <v>my</v>
      </c>
    </row>
    <row r="346">
      <c r="A346" s="1" t="s">
        <v>346</v>
      </c>
      <c r="B346" s="2" t="str">
        <f>IFERROR(__xludf.DUMMYFUNCTION("GOOGLETRANSLATE(A346,""ko"",""en"")"),"mountain")</f>
        <v>mountain</v>
      </c>
    </row>
    <row r="347">
      <c r="A347" s="1" t="s">
        <v>347</v>
      </c>
      <c r="B347" s="2" t="str">
        <f>IFERROR(__xludf.DUMMYFUNCTION("GOOGLETRANSLATE(A347,""ko"",""en"")"),"but")</f>
        <v>but</v>
      </c>
    </row>
    <row r="348">
      <c r="A348" s="1" t="s">
        <v>348</v>
      </c>
      <c r="B348" s="2" t="str">
        <f>IFERROR(__xludf.DUMMYFUNCTION("GOOGLETRANSLATE(A348,""ko"",""en"")"),"condition")</f>
        <v>condition</v>
      </c>
    </row>
    <row r="349">
      <c r="A349" s="1" t="s">
        <v>349</v>
      </c>
      <c r="B349" s="2" t="str">
        <f>IFERROR(__xludf.DUMMYFUNCTION("GOOGLETRANSLATE(A349,""ko"",""en"")"),"door")</f>
        <v>door</v>
      </c>
    </row>
    <row r="350">
      <c r="A350" s="1" t="s">
        <v>350</v>
      </c>
      <c r="B350" s="2" t="str">
        <f>IFERROR(__xludf.DUMMYFUNCTION("GOOGLETRANSLATE(A350,""ko"",""en"")"),"flower")</f>
        <v>flower</v>
      </c>
    </row>
    <row r="351">
      <c r="A351" s="1" t="s">
        <v>351</v>
      </c>
      <c r="B351" s="2" t="str">
        <f>IFERROR(__xludf.DUMMYFUNCTION("GOOGLETRANSLATE(A351,""ko"",""en"")"),"step")</f>
        <v>step</v>
      </c>
    </row>
    <row r="352">
      <c r="A352" s="1" t="s">
        <v>352</v>
      </c>
      <c r="B352" s="2" t="str">
        <f>IFERROR(__xludf.DUMMYFUNCTION("GOOGLETRANSLATE(A352,""ko"",""en"")"),"raise")</f>
        <v>raise</v>
      </c>
    </row>
    <row r="353">
      <c r="A353" s="1" t="s">
        <v>353</v>
      </c>
      <c r="B353" s="2" t="str">
        <f>IFERROR(__xludf.DUMMYFUNCTION("GOOGLETRANSLATE(A353,""ko"",""en"")"),"In the meantime")</f>
        <v>In the meantime</v>
      </c>
    </row>
    <row r="354">
      <c r="A354" s="1" t="s">
        <v>354</v>
      </c>
      <c r="B354" s="2" t="str">
        <f>IFERROR(__xludf.DUMMYFUNCTION("GOOGLETRANSLATE(A354,""ko"",""en"")"),"schoolmaster")</f>
        <v>schoolmaster</v>
      </c>
    </row>
    <row r="355">
      <c r="A355" s="1" t="s">
        <v>355</v>
      </c>
      <c r="B355" s="2" t="str">
        <f>IFERROR(__xludf.DUMMYFUNCTION("GOOGLETRANSLATE(A355,""ko"",""en"")"),"suddenly")</f>
        <v>suddenly</v>
      </c>
    </row>
    <row r="356">
      <c r="A356" s="1" t="s">
        <v>356</v>
      </c>
      <c r="B356" s="2" t="str">
        <f>IFERROR(__xludf.DUMMYFUNCTION("GOOGLETRANSLATE(A356,""ko"",""en"")"),"exceed")</f>
        <v>exceed</v>
      </c>
    </row>
    <row r="357">
      <c r="A357" s="1" t="s">
        <v>357</v>
      </c>
      <c r="B357" s="2" t="str">
        <f>IFERROR(__xludf.DUMMYFUNCTION("GOOGLETRANSLATE(A357,""ko"",""en"")"),"carry")</f>
        <v>carry</v>
      </c>
    </row>
    <row r="358">
      <c r="A358" s="1" t="s">
        <v>358</v>
      </c>
      <c r="B358" s="2" t="str">
        <f>IFERROR(__xludf.DUMMYFUNCTION("GOOGLETRANSLATE(A358,""ko"",""en"")"),"Do well")</f>
        <v>Do well</v>
      </c>
    </row>
    <row r="359">
      <c r="A359" s="1" t="s">
        <v>359</v>
      </c>
      <c r="B359" s="2" t="str">
        <f>IFERROR(__xludf.DUMMYFUNCTION("GOOGLETRANSLATE(A359,""ko"",""en"")"),"village")</f>
        <v>village</v>
      </c>
    </row>
    <row r="360">
      <c r="A360" s="1" t="s">
        <v>360</v>
      </c>
      <c r="B360" s="2" t="str">
        <f>IFERROR(__xludf.DUMMYFUNCTION("GOOGLETRANSLATE(A360,""ko"",""en"")"),"representative")</f>
        <v>representative</v>
      </c>
    </row>
    <row r="361">
      <c r="A361" s="1" t="s">
        <v>361</v>
      </c>
      <c r="B361" s="2" t="str">
        <f>IFERROR(__xludf.DUMMYFUNCTION("GOOGLETRANSLATE(A361,""ko"",""en"")"),"possibility")</f>
        <v>possibility</v>
      </c>
    </row>
    <row r="362">
      <c r="A362" s="1" t="s">
        <v>362</v>
      </c>
      <c r="B362" s="2" t="str">
        <f>IFERROR(__xludf.DUMMYFUNCTION("GOOGLETRANSLATE(A362,""ko"",""en"")"),"direction")</f>
        <v>direction</v>
      </c>
    </row>
    <row r="363">
      <c r="A363" s="1" t="s">
        <v>363</v>
      </c>
      <c r="B363" s="2" t="str">
        <f>IFERROR(__xludf.DUMMYFUNCTION("GOOGLETRANSLATE(A363,""ko"",""en"")"),"rally")</f>
        <v>rally</v>
      </c>
    </row>
    <row r="364">
      <c r="A364" s="1" t="s">
        <v>364</v>
      </c>
      <c r="B364" s="2" t="str">
        <f>IFERROR(__xludf.DUMMYFUNCTION("GOOGLETRANSLATE(A364,""ko"",""en"")"),"voice")</f>
        <v>voice</v>
      </c>
    </row>
    <row r="365">
      <c r="A365" s="1" t="s">
        <v>365</v>
      </c>
      <c r="B365" s="2" t="str">
        <f>IFERROR(__xludf.DUMMYFUNCTION("GOOGLETRANSLATE(A365,""ko"",""en"")"),"sing")</f>
        <v>sing</v>
      </c>
    </row>
    <row r="366">
      <c r="A366" s="1" t="s">
        <v>366</v>
      </c>
      <c r="B366" s="2" t="str">
        <f>IFERROR(__xludf.DUMMYFUNCTION("GOOGLETRANSLATE(A366,""ko"",""en"")"),"ocean")</f>
        <v>ocean</v>
      </c>
    </row>
    <row r="367">
      <c r="A367" s="1" t="s">
        <v>367</v>
      </c>
      <c r="B367" s="2" t="str">
        <f>IFERROR(__xludf.DUMMYFUNCTION("GOOGLETRANSLATE(A367,""ko"",""en"")"),"it's tough")</f>
        <v>it's tough</v>
      </c>
    </row>
    <row r="368">
      <c r="A368" s="1" t="s">
        <v>368</v>
      </c>
      <c r="B368" s="2" t="str">
        <f>IFERROR(__xludf.DUMMYFUNCTION("GOOGLETRANSLATE(A368,""ko"",""en"")"),"study")</f>
        <v>study</v>
      </c>
    </row>
    <row r="369">
      <c r="A369" s="1" t="s">
        <v>369</v>
      </c>
      <c r="B369" s="2" t="str">
        <f>IFERROR(__xludf.DUMMYFUNCTION("GOOGLETRANSLATE(A369,""ko"",""en"")"),"Move")</f>
        <v>Move</v>
      </c>
    </row>
    <row r="370">
      <c r="A370" s="1" t="s">
        <v>370</v>
      </c>
      <c r="B370" s="2" t="str">
        <f>IFERROR(__xludf.DUMMYFUNCTION("GOOGLETRANSLATE(A370,""ko"",""en"")"),"member")</f>
        <v>member</v>
      </c>
    </row>
    <row r="371">
      <c r="A371" s="1" t="s">
        <v>371</v>
      </c>
      <c r="B371" s="2" t="str">
        <f>IFERROR(__xludf.DUMMYFUNCTION("GOOGLETRANSLATE(A371,""ko"",""en"")"),"effort")</f>
        <v>effort</v>
      </c>
    </row>
    <row r="372">
      <c r="A372" s="1" t="s">
        <v>372</v>
      </c>
      <c r="B372" s="2" t="str">
        <f>IFERROR(__xludf.DUMMYFUNCTION("GOOGLETRANSLATE(A372,""ko"",""en"")"),"at all")</f>
        <v>at all</v>
      </c>
    </row>
    <row r="373">
      <c r="A373" s="1" t="s">
        <v>373</v>
      </c>
      <c r="B373" s="2" t="str">
        <f>IFERROR(__xludf.DUMMYFUNCTION("GOOGLETRANSLATE(A373,""ko"",""en"")"),"Sister")</f>
        <v>Sister</v>
      </c>
    </row>
    <row r="374">
      <c r="A374" s="1" t="s">
        <v>374</v>
      </c>
      <c r="B374" s="2" t="str">
        <f>IFERROR(__xludf.DUMMYFUNCTION("GOOGLETRANSLATE(A374,""ko"",""en"")"),"organization")</f>
        <v>organization</v>
      </c>
    </row>
    <row r="375">
      <c r="A375" s="1" t="s">
        <v>375</v>
      </c>
      <c r="B375" s="2" t="str">
        <f>IFERROR(__xludf.DUMMYFUNCTION("GOOGLETRANSLATE(A375,""ko"",""en"")"),"minute")</f>
        <v>minute</v>
      </c>
    </row>
    <row r="376">
      <c r="A376" s="1" t="s">
        <v>376</v>
      </c>
      <c r="B376" s="2" t="str">
        <f>IFERROR(__xludf.DUMMYFUNCTION("GOOGLETRANSLATE(A376,""ko"",""en"")"),"Become known")</f>
        <v>Become known</v>
      </c>
    </row>
    <row r="377">
      <c r="A377" s="1" t="s">
        <v>377</v>
      </c>
      <c r="B377" s="2" t="str">
        <f>IFERROR(__xludf.DUMMYFUNCTION("GOOGLETRANSLATE(A377,""ko"",""en"")"),"possible")</f>
        <v>possible</v>
      </c>
    </row>
    <row r="378">
      <c r="A378" s="1" t="s">
        <v>378</v>
      </c>
      <c r="B378" s="2" t="str">
        <f>IFERROR(__xludf.DUMMYFUNCTION("GOOGLETRANSLATE(A378,""ko"",""en"")"),"ability")</f>
        <v>ability</v>
      </c>
    </row>
    <row r="379">
      <c r="A379" s="1" t="s">
        <v>379</v>
      </c>
      <c r="B379" s="2" t="str">
        <f>IFERROR(__xludf.DUMMYFUNCTION("GOOGLETRANSLATE(A379,""ko"",""en"")"),"claim")</f>
        <v>claim</v>
      </c>
    </row>
    <row r="380">
      <c r="A380" s="1" t="s">
        <v>380</v>
      </c>
      <c r="B380" s="2" t="str">
        <f>IFERROR(__xludf.DUMMYFUNCTION("GOOGLETRANSLATE(A380,""ko"",""en"")"),"child")</f>
        <v>child</v>
      </c>
    </row>
    <row r="381">
      <c r="A381" s="1" t="s">
        <v>381</v>
      </c>
      <c r="B381" s="2" t="str">
        <f>IFERROR(__xludf.DUMMYFUNCTION("GOOGLETRANSLATE(A381,""ko"",""en"")"),"turn")</f>
        <v>turn</v>
      </c>
    </row>
    <row r="382">
      <c r="A382" s="1" t="s">
        <v>382</v>
      </c>
      <c r="B382" s="2" t="str">
        <f>IFERROR(__xludf.DUMMYFUNCTION("GOOGLETRANSLATE(A382,""ko"",""en"")"),"fire")</f>
        <v>fire</v>
      </c>
    </row>
    <row r="383">
      <c r="A383" s="1" t="s">
        <v>383</v>
      </c>
      <c r="B383" s="2" t="str">
        <f>IFERROR(__xludf.DUMMYFUNCTION("GOOGLETRANSLATE(A383,""ko"",""en"")"),"people")</f>
        <v>people</v>
      </c>
    </row>
    <row r="384">
      <c r="A384" s="1" t="s">
        <v>384</v>
      </c>
      <c r="B384" s="2" t="str">
        <f>IFERROR(__xludf.DUMMYFUNCTION("GOOGLETRANSLATE(A384,""ko"",""en"")"),"collect")</f>
        <v>collect</v>
      </c>
    </row>
    <row r="385">
      <c r="A385" s="1" t="s">
        <v>385</v>
      </c>
      <c r="B385" s="2" t="str">
        <f>IFERROR(__xludf.DUMMYFUNCTION("GOOGLETRANSLATE(A385,""ko"",""en"")"),"data")</f>
        <v>data</v>
      </c>
    </row>
    <row r="386">
      <c r="A386" s="1" t="s">
        <v>386</v>
      </c>
      <c r="B386" s="2" t="str">
        <f>IFERROR(__xludf.DUMMYFUNCTION("GOOGLETRANSLATE(A386,""ko"",""en"")"),"existence")</f>
        <v>existence</v>
      </c>
    </row>
    <row r="387">
      <c r="A387" s="1" t="s">
        <v>387</v>
      </c>
      <c r="B387" s="2" t="str">
        <f>IFERROR(__xludf.DUMMYFUNCTION("GOOGLETRANSLATE(A387,""ko"",""en"")"),"grade")</f>
        <v>grade</v>
      </c>
    </row>
    <row r="388">
      <c r="A388" s="1" t="s">
        <v>388</v>
      </c>
      <c r="B388" s="2" t="str">
        <f>IFERROR(__xludf.DUMMYFUNCTION("GOOGLETRANSLATE(A388,""ko"",""en"")"),"newspaper")</f>
        <v>newspaper</v>
      </c>
    </row>
    <row r="389">
      <c r="A389" s="1" t="s">
        <v>389</v>
      </c>
      <c r="B389" s="2" t="str">
        <f>IFERROR(__xludf.DUMMYFUNCTION("GOOGLETRANSLATE(A389,""ko"",""en"")"),"have")</f>
        <v>have</v>
      </c>
    </row>
    <row r="390">
      <c r="A390" s="1" t="s">
        <v>390</v>
      </c>
      <c r="B390" s="2" t="str">
        <f>IFERROR(__xludf.DUMMYFUNCTION("GOOGLETRANSLATE(A390,""ko"",""en"")"),"understand")</f>
        <v>understand</v>
      </c>
    </row>
    <row r="391">
      <c r="A391" s="1" t="s">
        <v>391</v>
      </c>
      <c r="B391" s="2" t="str">
        <f>IFERROR(__xludf.DUMMYFUNCTION("GOOGLETRANSLATE(A391,""ko"",""en"")"),"product")</f>
        <v>product</v>
      </c>
    </row>
    <row r="392">
      <c r="A392" s="1" t="s">
        <v>392</v>
      </c>
      <c r="B392" s="2" t="str">
        <f>IFERROR(__xludf.DUMMYFUNCTION("GOOGLETRANSLATE(A392,""ko"",""en"")"),"field")</f>
        <v>field</v>
      </c>
    </row>
    <row r="393">
      <c r="A393" s="1" t="s">
        <v>393</v>
      </c>
      <c r="B393" s="2" t="str">
        <f>IFERROR(__xludf.DUMMYFUNCTION("GOOGLETRANSLATE(A393,""ko"",""en"")"),"teacher")</f>
        <v>teacher</v>
      </c>
    </row>
    <row r="394">
      <c r="A394" s="1" t="s">
        <v>394</v>
      </c>
      <c r="B394" s="2" t="str">
        <f>IFERROR(__xludf.DUMMYFUNCTION("GOOGLETRANSLATE(A394,""ko"",""en"")"),"return")</f>
        <v>return</v>
      </c>
    </row>
    <row r="395">
      <c r="A395" s="1" t="s">
        <v>395</v>
      </c>
      <c r="B395" s="2" t="str">
        <f>IFERROR(__xludf.DUMMYFUNCTION("GOOGLETRANSLATE(A395,""ko"",""en"")"),"business")</f>
        <v>business</v>
      </c>
    </row>
    <row r="396">
      <c r="A396" s="1" t="s">
        <v>396</v>
      </c>
      <c r="B396" s="2" t="str">
        <f>IFERROR(__xludf.DUMMYFUNCTION("GOOGLETRANSLATE(A396,""ko"",""en"")"),"act")</f>
        <v>act</v>
      </c>
    </row>
    <row r="397">
      <c r="A397" s="1" t="s">
        <v>397</v>
      </c>
      <c r="B397" s="2" t="str">
        <f>IFERROR(__xludf.DUMMYFUNCTION("GOOGLETRANSLATE(A397,""ko"",""en"")"),"water level")</f>
        <v>water level</v>
      </c>
    </row>
    <row r="398">
      <c r="A398" s="1" t="s">
        <v>398</v>
      </c>
      <c r="B398" s="2" t="str">
        <f>IFERROR(__xludf.DUMMYFUNCTION("GOOGLETRANSLATE(A398,""ko"",""en"")"),"Last year")</f>
        <v>Last year</v>
      </c>
    </row>
    <row r="399">
      <c r="A399" s="1" t="s">
        <v>399</v>
      </c>
      <c r="B399" s="2" t="str">
        <f>IFERROR(__xludf.DUMMYFUNCTION("GOOGLETRANSLATE(A399,""ko"",""en"")"),"expression")</f>
        <v>expression</v>
      </c>
    </row>
    <row r="400">
      <c r="A400" s="1" t="s">
        <v>400</v>
      </c>
      <c r="B400" s="2" t="str">
        <f>IFERROR(__xludf.DUMMYFUNCTION("GOOGLETRANSLATE(A400,""ko"",""en"")"),"mood")</f>
        <v>mood</v>
      </c>
    </row>
    <row r="401">
      <c r="A401" s="1" t="s">
        <v>401</v>
      </c>
      <c r="B401" s="2" t="str">
        <f>IFERROR(__xludf.DUMMYFUNCTION("GOOGLETRANSLATE(A401,""ko"",""en"")"),"be young")</f>
        <v>be young</v>
      </c>
    </row>
    <row r="402">
      <c r="A402" s="1" t="s">
        <v>402</v>
      </c>
      <c r="B402" s="2" t="str">
        <f>IFERROR(__xludf.DUMMYFUNCTION("GOOGLETRANSLATE(A402,""ko"",""en"")"),"the same time")</f>
        <v>the same time</v>
      </c>
    </row>
    <row r="403">
      <c r="A403" s="1" t="s">
        <v>403</v>
      </c>
      <c r="B403" s="2" t="str">
        <f>IFERROR(__xludf.DUMMYFUNCTION("GOOGLETRANSLATE(A403,""ko"",""en"")"),"clothes")</f>
        <v>clothes</v>
      </c>
    </row>
    <row r="404">
      <c r="A404" s="1" t="s">
        <v>404</v>
      </c>
      <c r="B404" s="2" t="str">
        <f>IFERROR(__xludf.DUMMYFUNCTION("GOOGLETRANSLATE(A404,""ko"",""en"")"),"moment")</f>
        <v>moment</v>
      </c>
    </row>
    <row r="405">
      <c r="A405" s="1" t="s">
        <v>405</v>
      </c>
      <c r="B405" s="2" t="str">
        <f>IFERROR(__xludf.DUMMYFUNCTION("GOOGLETRANSLATE(A405,""ko"",""en"")"),"war")</f>
        <v>war</v>
      </c>
    </row>
    <row r="406">
      <c r="A406" s="1" t="s">
        <v>406</v>
      </c>
      <c r="B406" s="2" t="str">
        <f>IFERROR(__xludf.DUMMYFUNCTION("GOOGLETRANSLATE(A406,""ko"",""en"")"),"dream")</f>
        <v>dream</v>
      </c>
    </row>
    <row r="407">
      <c r="A407" s="1" t="s">
        <v>407</v>
      </c>
      <c r="B407" s="2" t="str">
        <f>IFERROR(__xludf.DUMMYFUNCTION("GOOGLETRANSLATE(A407,""ko"",""en"")"),"grandma")</f>
        <v>grandma</v>
      </c>
    </row>
    <row r="408">
      <c r="A408" s="1" t="s">
        <v>408</v>
      </c>
      <c r="B408" s="2" t="str">
        <f>IFERROR(__xludf.DUMMYFUNCTION("GOOGLETRANSLATE(A408,""ko"",""en"")"),"broadcast")</f>
        <v>broadcast</v>
      </c>
    </row>
    <row r="409">
      <c r="A409" s="1" t="s">
        <v>409</v>
      </c>
      <c r="B409" s="2" t="str">
        <f>IFERROR(__xludf.DUMMYFUNCTION("GOOGLETRANSLATE(A409,""ko"",""en"")"),"Talk")</f>
        <v>Talk</v>
      </c>
    </row>
    <row r="410">
      <c r="A410" s="1" t="s">
        <v>410</v>
      </c>
      <c r="B410" s="2" t="str">
        <f>IFERROR(__xludf.DUMMYFUNCTION("GOOGLETRANSLATE(A410,""ko"",""en"")"),"tree")</f>
        <v>tree</v>
      </c>
    </row>
    <row r="411">
      <c r="A411" s="1" t="s">
        <v>411</v>
      </c>
      <c r="B411" s="2" t="str">
        <f>IFERROR(__xludf.DUMMYFUNCTION("GOOGLETRANSLATE(A411,""ko"",""en"")"),"sleep")</f>
        <v>sleep</v>
      </c>
    </row>
    <row r="412">
      <c r="A412" s="1" t="s">
        <v>412</v>
      </c>
      <c r="B412" s="2" t="str">
        <f>IFERROR(__xludf.DUMMYFUNCTION("GOOGLETRANSLATE(A412,""ko"",""en"")"),"theater")</f>
        <v>theater</v>
      </c>
    </row>
    <row r="413">
      <c r="A413" s="1" t="s">
        <v>413</v>
      </c>
      <c r="B413" s="2" t="str">
        <f>IFERROR(__xludf.DUMMYFUNCTION("GOOGLETRANSLATE(A413,""ko"",""en"")"),"today")</f>
        <v>today</v>
      </c>
    </row>
    <row r="414">
      <c r="A414" s="1" t="s">
        <v>414</v>
      </c>
      <c r="B414" s="2" t="str">
        <f>IFERROR(__xludf.DUMMYFUNCTION("GOOGLETRANSLATE(A414,""ko"",""en"")"),"sameness")</f>
        <v>sameness</v>
      </c>
    </row>
    <row r="415">
      <c r="A415" s="1" t="s">
        <v>415</v>
      </c>
      <c r="B415" s="2" t="str">
        <f>IFERROR(__xludf.DUMMYFUNCTION("GOOGLETRANSLATE(A415,""ko"",""en"")"),"labor")</f>
        <v>labor</v>
      </c>
    </row>
    <row r="416">
      <c r="A416" s="1" t="s">
        <v>416</v>
      </c>
      <c r="B416" s="2" t="str">
        <f>IFERROR(__xludf.DUMMYFUNCTION("GOOGLETRANSLATE(A416,""ko"",""en"")"),"At this time")</f>
        <v>At this time</v>
      </c>
    </row>
    <row r="417">
      <c r="A417" s="1" t="s">
        <v>417</v>
      </c>
      <c r="B417" s="2" t="str">
        <f>IFERROR(__xludf.DUMMYFUNCTION("GOOGLETRANSLATE(A417,""ko"",""en"")"),"value")</f>
        <v>value</v>
      </c>
    </row>
    <row r="418">
      <c r="A418" s="1" t="s">
        <v>418</v>
      </c>
      <c r="B418" s="2" t="str">
        <f>IFERROR(__xludf.DUMMYFUNCTION("GOOGLETRANSLATE(A418,""ko"",""en"")"),"hour")</f>
        <v>hour</v>
      </c>
    </row>
    <row r="419">
      <c r="A419" s="1" t="s">
        <v>419</v>
      </c>
      <c r="B419" s="2" t="str">
        <f>IFERROR(__xludf.DUMMYFUNCTION("GOOGLETRANSLATE(A419,""ko"",""en"")"),"group")</f>
        <v>group</v>
      </c>
    </row>
    <row r="420">
      <c r="A420" s="1" t="s">
        <v>420</v>
      </c>
      <c r="B420" s="2" t="str">
        <f>IFERROR(__xludf.DUMMYFUNCTION("GOOGLETRANSLATE(A420,""ko"",""en"")"),"hyundai")</f>
        <v>hyundai</v>
      </c>
    </row>
    <row r="421">
      <c r="A421" s="1" t="s">
        <v>421</v>
      </c>
      <c r="B421" s="2" t="str">
        <f>IFERROR(__xludf.DUMMYFUNCTION("GOOGLETRANSLATE(A421,""ko"",""en"")"),"Take a look")</f>
        <v>Take a look</v>
      </c>
    </row>
    <row r="422">
      <c r="A422" s="1" t="s">
        <v>422</v>
      </c>
      <c r="B422" s="2" t="str">
        <f>IFERROR(__xludf.DUMMYFUNCTION("GOOGLETRANSLATE(A422,""ko"",""en"")"),"minister")</f>
        <v>minister</v>
      </c>
    </row>
    <row r="423">
      <c r="A423" s="1" t="s">
        <v>423</v>
      </c>
      <c r="B423" s="2" t="str">
        <f>IFERROR(__xludf.DUMMYFUNCTION("GOOGLETRANSLATE(A423,""ko"",""en"")"),"difference")</f>
        <v>difference</v>
      </c>
    </row>
    <row r="424">
      <c r="A424" s="1" t="s">
        <v>424</v>
      </c>
      <c r="B424" s="2" t="str">
        <f>IFERROR(__xludf.DUMMYFUNCTION("GOOGLETRANSLATE(A424,""ko"",""en"")"),"unravel")</f>
        <v>unravel</v>
      </c>
    </row>
    <row r="425">
      <c r="A425" s="1" t="s">
        <v>425</v>
      </c>
      <c r="B425" s="2" t="str">
        <f>IFERROR(__xludf.DUMMYFUNCTION("GOOGLETRANSLATE(A425,""ko"",""en"")"),"time")</f>
        <v>time</v>
      </c>
    </row>
    <row r="426">
      <c r="A426" s="1" t="s">
        <v>426</v>
      </c>
      <c r="B426" s="2" t="str">
        <f>IFERROR(__xludf.DUMMYFUNCTION("GOOGLETRANSLATE(A426,""ko"",""en"")"),"thing")</f>
        <v>thing</v>
      </c>
    </row>
    <row r="427">
      <c r="A427" s="1" t="s">
        <v>427</v>
      </c>
      <c r="B427" s="2" t="str">
        <f>IFERROR(__xludf.DUMMYFUNCTION("GOOGLETRANSLATE(A427,""ko"",""en"")"),"individual")</f>
        <v>individual</v>
      </c>
    </row>
    <row r="428">
      <c r="A428" s="1" t="s">
        <v>428</v>
      </c>
      <c r="B428" s="2" t="str">
        <f>IFERROR(__xludf.DUMMYFUNCTION("GOOGLETRANSLATE(A428,""ko"",""en"")"),"however")</f>
        <v>however</v>
      </c>
    </row>
    <row r="429">
      <c r="A429" s="1" t="s">
        <v>429</v>
      </c>
      <c r="B429" s="2" t="str">
        <f>IFERROR(__xludf.DUMMYFUNCTION("GOOGLETRANSLATE(A429,""ko"",""en"")"),"foot")</f>
        <v>foot</v>
      </c>
    </row>
    <row r="430">
      <c r="A430" s="1" t="s">
        <v>430</v>
      </c>
      <c r="B430" s="2" t="str">
        <f>IFERROR(__xludf.DUMMYFUNCTION("GOOGLETRANSLATE(A430,""ko"",""en"")"),"author")</f>
        <v>author</v>
      </c>
    </row>
    <row r="431">
      <c r="A431" s="1" t="s">
        <v>431</v>
      </c>
      <c r="B431" s="2" t="str">
        <f>IFERROR(__xludf.DUMMYFUNCTION("GOOGLETRANSLATE(A431,""ko"",""en"")"),"effect")</f>
        <v>effect</v>
      </c>
    </row>
    <row r="432">
      <c r="A432" s="1" t="s">
        <v>432</v>
      </c>
      <c r="B432" s="2" t="str">
        <f>IFERROR(__xludf.DUMMYFUNCTION("GOOGLETRANSLATE(A432,""ko"",""en"")"),"buddhism")</f>
        <v>buddhism</v>
      </c>
    </row>
    <row r="433">
      <c r="A433" s="1" t="s">
        <v>433</v>
      </c>
      <c r="B433" s="2" t="str">
        <f>IFERROR(__xludf.DUMMYFUNCTION("GOOGLETRANSLATE(A433,""ko"",""en"")"),"draw")</f>
        <v>draw</v>
      </c>
    </row>
    <row r="434">
      <c r="A434" s="1" t="s">
        <v>434</v>
      </c>
      <c r="B434" s="2" t="str">
        <f>IFERROR(__xludf.DUMMYFUNCTION("GOOGLETRANSLATE(A434,""ko"",""en"")"),"As per")</f>
        <v>As per</v>
      </c>
    </row>
    <row r="435">
      <c r="A435" s="1" t="s">
        <v>435</v>
      </c>
      <c r="B435" s="2" t="str">
        <f>IFERROR(__xludf.DUMMYFUNCTION("GOOGLETRANSLATE(A435,""ko"",""en"")"),"hurry")</f>
        <v>hurry</v>
      </c>
    </row>
    <row r="436">
      <c r="A436" s="1" t="s">
        <v>436</v>
      </c>
      <c r="B436" s="2" t="str">
        <f>IFERROR(__xludf.DUMMYFUNCTION("GOOGLETRANSLATE(A436,""ko"",""en"")"),"Start")</f>
        <v>Start</v>
      </c>
    </row>
    <row r="437">
      <c r="A437" s="1" t="s">
        <v>437</v>
      </c>
      <c r="B437" s="2" t="str">
        <f>IFERROR(__xludf.DUMMYFUNCTION("GOOGLETRANSLATE(A437,""ko"",""en"")"),"two")</f>
        <v>two</v>
      </c>
    </row>
    <row r="438">
      <c r="A438" s="1" t="s">
        <v>438</v>
      </c>
      <c r="B438" s="2" t="str">
        <f>IFERROR(__xludf.DUMMYFUNCTION("GOOGLETRANSLATE(A438,""ko"",""en"")"),"explain")</f>
        <v>explain</v>
      </c>
    </row>
    <row r="439">
      <c r="A439" s="1" t="s">
        <v>439</v>
      </c>
      <c r="B439" s="2" t="str">
        <f>IFERROR(__xludf.DUMMYFUNCTION("GOOGLETRANSLATE(A439,""ko"",""en"")"),"universe")</f>
        <v>universe</v>
      </c>
    </row>
    <row r="440">
      <c r="A440" s="1" t="s">
        <v>440</v>
      </c>
      <c r="B440" s="2" t="str">
        <f>IFERROR(__xludf.DUMMYFUNCTION("GOOGLETRANSLATE(A440,""ko"",""en"")"),"like")</f>
        <v>like</v>
      </c>
    </row>
    <row r="441">
      <c r="A441" s="1" t="s">
        <v>441</v>
      </c>
      <c r="B441" s="2" t="str">
        <f>IFERROR(__xludf.DUMMYFUNCTION("GOOGLETRANSLATE(A441,""ko"",""en"")"),"production")</f>
        <v>production</v>
      </c>
    </row>
    <row r="442">
      <c r="A442" s="1" t="s">
        <v>442</v>
      </c>
      <c r="B442" s="2" t="str">
        <f>IFERROR(__xludf.DUMMYFUNCTION("GOOGLETRANSLATE(A442,""ko"",""en"")"),"hope")</f>
        <v>hope</v>
      </c>
    </row>
    <row r="443">
      <c r="A443" s="1" t="s">
        <v>443</v>
      </c>
      <c r="B443" s="2" t="str">
        <f>IFERROR(__xludf.DUMMYFUNCTION("GOOGLETRANSLATE(A443,""ko"",""en"")"),"Strong")</f>
        <v>Strong</v>
      </c>
    </row>
    <row r="444">
      <c r="A444" s="1" t="s">
        <v>444</v>
      </c>
      <c r="B444" s="2" t="str">
        <f>IFERROR(__xludf.DUMMYFUNCTION("GOOGLETRANSLATE(A444,""ko"",""en"")"),"experience")</f>
        <v>experience</v>
      </c>
    </row>
    <row r="445">
      <c r="A445" s="1" t="s">
        <v>445</v>
      </c>
      <c r="B445" s="2" t="str">
        <f>IFERROR(__xludf.DUMMYFUNCTION("GOOGLETRANSLATE(A445,""ko"",""en"")"),"music")</f>
        <v>music</v>
      </c>
    </row>
    <row r="446">
      <c r="A446" s="1" t="s">
        <v>446</v>
      </c>
      <c r="B446" s="2" t="str">
        <f>IFERROR(__xludf.DUMMYFUNCTION("GOOGLETRANSLATE(A446,""ko"",""en"")"),"best")</f>
        <v>best</v>
      </c>
    </row>
    <row r="447">
      <c r="A447" s="1" t="s">
        <v>447</v>
      </c>
      <c r="B447" s="2" t="str">
        <f>IFERROR(__xludf.DUMMYFUNCTION("GOOGLETRANSLATE(A447,""ko"",""en"")"),"Show")</f>
        <v>Show</v>
      </c>
    </row>
    <row r="448">
      <c r="A448" s="1" t="s">
        <v>448</v>
      </c>
      <c r="B448" s="2" t="str">
        <f>IFERROR(__xludf.DUMMYFUNCTION("GOOGLETRANSLATE(A448,""ko"",""en"")"),"sick")</f>
        <v>sick</v>
      </c>
    </row>
    <row r="449">
      <c r="A449" s="1" t="s">
        <v>449</v>
      </c>
      <c r="B449" s="2" t="str">
        <f>IFERROR(__xludf.DUMMYFUNCTION("GOOGLETRANSLATE(A449,""ko"",""en"")"),"hometown")</f>
        <v>hometown</v>
      </c>
    </row>
    <row r="450">
      <c r="A450" s="1" t="s">
        <v>450</v>
      </c>
      <c r="B450" s="2" t="str">
        <f>IFERROR(__xludf.DUMMYFUNCTION("GOOGLETRANSLATE(A450,""ko"",""en"")"),"surprised")</f>
        <v>surprised</v>
      </c>
    </row>
    <row r="451">
      <c r="A451" s="1" t="s">
        <v>451</v>
      </c>
      <c r="B451" s="2" t="str">
        <f>IFERROR(__xludf.DUMMYFUNCTION("GOOGLETRANSLATE(A451,""ko"",""en"")"),"It's diverse")</f>
        <v>It's diverse</v>
      </c>
    </row>
    <row r="452">
      <c r="A452" s="1" t="s">
        <v>452</v>
      </c>
      <c r="B452" s="2" t="str">
        <f>IFERROR(__xludf.DUMMYFUNCTION("GOOGLETRANSLATE(A452,""ko"",""en"")"),"weep")</f>
        <v>weep</v>
      </c>
    </row>
    <row r="453">
      <c r="A453" s="1" t="s">
        <v>453</v>
      </c>
      <c r="B453" s="2" t="str">
        <f>IFERROR(__xludf.DUMMYFUNCTION("GOOGLETRANSLATE(A453,""ko"",""en"")"),"farmers")</f>
        <v>farmers</v>
      </c>
    </row>
    <row r="454">
      <c r="A454" s="1" t="s">
        <v>454</v>
      </c>
      <c r="B454" s="2" t="str">
        <f>IFERROR(__xludf.DUMMYFUNCTION("GOOGLETRANSLATE(A454,""ko"",""en"")"),"emerge")</f>
        <v>emerge</v>
      </c>
    </row>
    <row r="455">
      <c r="A455" s="1" t="s">
        <v>455</v>
      </c>
      <c r="B455" s="2" t="str">
        <f>IFERROR(__xludf.DUMMYFUNCTION("GOOGLETRANSLATE(A455,""ko"",""en"")"),"bank")</f>
        <v>bank</v>
      </c>
    </row>
    <row r="456">
      <c r="A456" s="1" t="s">
        <v>456</v>
      </c>
      <c r="B456" s="2" t="str">
        <f>IFERROR(__xludf.DUMMYFUNCTION("GOOGLETRANSLATE(A456,""ko"",""en"")"),"do")</f>
        <v>do</v>
      </c>
    </row>
    <row r="457">
      <c r="A457" s="1" t="s">
        <v>457</v>
      </c>
      <c r="B457" s="2" t="str">
        <f>IFERROR(__xludf.DUMMYFUNCTION("GOOGLETRANSLATE(A457,""ko"",""en"")"),"marriage")</f>
        <v>marriage</v>
      </c>
    </row>
    <row r="458">
      <c r="A458" s="1" t="s">
        <v>458</v>
      </c>
      <c r="B458" s="2" t="str">
        <f>IFERROR(__xludf.DUMMYFUNCTION("GOOGLETRANSLATE(A458,""ko"",""en"")"),"younger brother")</f>
        <v>younger brother</v>
      </c>
    </row>
    <row r="459">
      <c r="A459" s="1" t="s">
        <v>459</v>
      </c>
      <c r="B459" s="2" t="str">
        <f>IFERROR(__xludf.DUMMYFUNCTION("GOOGLETRANSLATE(A459,""ko"",""en"")"),"novel")</f>
        <v>novel</v>
      </c>
    </row>
    <row r="460">
      <c r="A460" s="1" t="s">
        <v>460</v>
      </c>
      <c r="B460" s="2" t="str">
        <f>IFERROR(__xludf.DUMMYFUNCTION("GOOGLETRANSLATE(A460,""ko"",""en"")"),"afternoon")</f>
        <v>afternoon</v>
      </c>
    </row>
    <row r="461">
      <c r="A461" s="1" t="s">
        <v>461</v>
      </c>
      <c r="B461" s="2" t="str">
        <f>IFERROR(__xludf.DUMMYFUNCTION("GOOGLETRANSLATE(A461,""ko"",""en"")"),"order")</f>
        <v>order</v>
      </c>
    </row>
    <row r="462">
      <c r="A462" s="1" t="s">
        <v>462</v>
      </c>
      <c r="B462" s="2" t="str">
        <f>IFERROR(__xludf.DUMMYFUNCTION("GOOGLETRANSLATE(A462,""ko"",""en"")"),"Hold")</f>
        <v>Hold</v>
      </c>
    </row>
    <row r="463">
      <c r="A463" s="1" t="s">
        <v>463</v>
      </c>
      <c r="B463" s="2" t="str">
        <f>IFERROR(__xludf.DUMMYFUNCTION("GOOGLETRANSLATE(A463,""ko"",""en"")"),"converge")</f>
        <v>converge</v>
      </c>
    </row>
    <row r="464">
      <c r="A464" s="1" t="s">
        <v>464</v>
      </c>
      <c r="B464" s="2" t="str">
        <f>IFERROR(__xludf.DUMMYFUNCTION("GOOGLETRANSLATE(A464,""ko"",""en"")"),"citizen")</f>
        <v>citizen</v>
      </c>
    </row>
    <row r="465">
      <c r="A465" s="1" t="s">
        <v>465</v>
      </c>
      <c r="B465" s="2" t="str">
        <f>IFERROR(__xludf.DUMMYFUNCTION("GOOGLETRANSLATE(A465,""ko"",""en"")"),"president")</f>
        <v>president</v>
      </c>
    </row>
    <row r="466">
      <c r="A466" s="1" t="s">
        <v>466</v>
      </c>
      <c r="B466" s="2" t="str">
        <f>IFERROR(__xludf.DUMMYFUNCTION("GOOGLETRANSLATE(A466,""ko"",""en"")"),"fast")</f>
        <v>fast</v>
      </c>
    </row>
    <row r="467">
      <c r="A467" s="1" t="s">
        <v>467</v>
      </c>
      <c r="B467" s="2" t="str">
        <f>IFERROR(__xludf.DUMMYFUNCTION("GOOGLETRANSLATE(A467,""ko"",""en"")"),"baby")</f>
        <v>baby</v>
      </c>
    </row>
    <row r="468">
      <c r="A468" s="1" t="s">
        <v>468</v>
      </c>
      <c r="B468" s="2" t="str">
        <f>IFERROR(__xludf.DUMMYFUNCTION("GOOGLETRANSLATE(A468,""ko"",""en"")"),"mister")</f>
        <v>mister</v>
      </c>
    </row>
    <row r="469">
      <c r="A469" s="1" t="s">
        <v>469</v>
      </c>
      <c r="B469" s="2" t="str">
        <f>IFERROR(__xludf.DUMMYFUNCTION("GOOGLETRANSLATE(A469,""ko"",""en"")"),"old days")</f>
        <v>old days</v>
      </c>
    </row>
    <row r="470">
      <c r="A470" s="1" t="s">
        <v>470</v>
      </c>
      <c r="B470" s="2" t="str">
        <f>IFERROR(__xludf.DUMMYFUNCTION("GOOGLETRANSLATE(A470,""ko"",""en"")"),"On this day")</f>
        <v>On this day</v>
      </c>
    </row>
    <row r="471">
      <c r="A471" s="1" t="s">
        <v>471</v>
      </c>
      <c r="B471" s="2" t="str">
        <f>IFERROR(__xludf.DUMMYFUNCTION("GOOGLETRANSLATE(A471,""ko"",""en"")"),"Properly")</f>
        <v>Properly</v>
      </c>
    </row>
    <row r="472">
      <c r="A472" s="1" t="s">
        <v>472</v>
      </c>
      <c r="B472" s="2" t="str">
        <f>IFERROR(__xludf.DUMMYFUNCTION("GOOGLETRANSLATE(A472,""ko"",""en"")"),"throw")</f>
        <v>throw</v>
      </c>
    </row>
    <row r="473">
      <c r="A473" s="1" t="s">
        <v>473</v>
      </c>
      <c r="B473" s="2" t="str">
        <f>IFERROR(__xludf.DUMMYFUNCTION("GOOGLETRANSLATE(A473,""ko"",""en"")"),"space")</f>
        <v>space</v>
      </c>
    </row>
    <row r="474">
      <c r="A474" s="1" t="s">
        <v>474</v>
      </c>
      <c r="B474" s="2" t="str">
        <f>IFERROR(__xludf.DUMMYFUNCTION("GOOGLETRANSLATE(A474,""ko"",""en"")"),"Here")</f>
        <v>Here</v>
      </c>
    </row>
    <row r="475">
      <c r="A475" s="1" t="s">
        <v>475</v>
      </c>
      <c r="B475" s="2" t="str">
        <f>IFERROR(__xludf.DUMMYFUNCTION("GOOGLETRANSLATE(A475,""ko"",""en"")"),"daughter")</f>
        <v>daughter</v>
      </c>
    </row>
    <row r="476">
      <c r="A476" s="1" t="s">
        <v>476</v>
      </c>
      <c r="B476" s="2" t="str">
        <f>IFERROR(__xludf.DUMMYFUNCTION("GOOGLETRANSLATE(A476,""ko"",""en"")"),"last")</f>
        <v>last</v>
      </c>
    </row>
    <row r="477">
      <c r="A477" s="1" t="s">
        <v>477</v>
      </c>
      <c r="B477" s="2" t="str">
        <f>IFERROR(__xludf.DUMMYFUNCTION("GOOGLETRANSLATE(A477,""ko"",""en"")"),"Earn")</f>
        <v>Earn</v>
      </c>
    </row>
    <row r="478">
      <c r="A478" s="1" t="s">
        <v>478</v>
      </c>
      <c r="B478" s="2" t="str">
        <f>IFERROR(__xludf.DUMMYFUNCTION("GOOGLETRANSLATE(A478,""ko"",""en"")"),"hospital")</f>
        <v>hospital</v>
      </c>
    </row>
    <row r="479">
      <c r="A479" s="1" t="s">
        <v>479</v>
      </c>
      <c r="B479" s="2" t="str">
        <f>IFERROR(__xludf.DUMMYFUNCTION("GOOGLETRANSLATE(A479,""ko"",""en"")"),"posture")</f>
        <v>posture</v>
      </c>
    </row>
    <row r="480">
      <c r="A480" s="1" t="s">
        <v>480</v>
      </c>
      <c r="B480" s="2" t="str">
        <f>IFERROR(__xludf.DUMMYFUNCTION("GOOGLETRANSLATE(A480,""ko"",""en"")"),"emphasize")</f>
        <v>emphasize</v>
      </c>
    </row>
    <row r="481">
      <c r="A481" s="1" t="s">
        <v>481</v>
      </c>
      <c r="B481" s="2" t="str">
        <f>IFERROR(__xludf.DUMMYFUNCTION("GOOGLETRANSLATE(A481,""ko"",""en"")"),"police")</f>
        <v>police</v>
      </c>
    </row>
    <row r="482">
      <c r="A482" s="1" t="s">
        <v>482</v>
      </c>
      <c r="B482" s="2" t="str">
        <f>IFERROR(__xludf.DUMMYFUNCTION("GOOGLETRANSLATE(A482,""ko"",""en"")"),"dinner")</f>
        <v>dinner</v>
      </c>
    </row>
    <row r="483">
      <c r="A483" s="1" t="s">
        <v>483</v>
      </c>
      <c r="B483" s="2" t="str">
        <f>IFERROR(__xludf.DUMMYFUNCTION("GOOGLETRANSLATE(A483,""ko"",""en"")"),"then")</f>
        <v>then</v>
      </c>
    </row>
    <row r="484">
      <c r="A484" s="1" t="s">
        <v>484</v>
      </c>
      <c r="B484" s="2" t="str">
        <f>IFERROR(__xludf.DUMMYFUNCTION("GOOGLETRANSLATE(A484,""ko"",""en"")"),"reporter")</f>
        <v>reporter</v>
      </c>
    </row>
    <row r="485">
      <c r="A485" s="1" t="s">
        <v>485</v>
      </c>
      <c r="B485" s="2" t="str">
        <f>IFERROR(__xludf.DUMMYFUNCTION("GOOGLETRANSLATE(A485,""ko"",""en"")"),"Wide")</f>
        <v>Wide</v>
      </c>
    </row>
    <row r="486">
      <c r="A486" s="1" t="s">
        <v>486</v>
      </c>
      <c r="B486" s="2" t="str">
        <f>IFERROR(__xludf.DUMMYFUNCTION("GOOGLETRANSLATE(A486,""ko"",""en"")"),"test")</f>
        <v>test</v>
      </c>
    </row>
    <row r="487">
      <c r="A487" s="1" t="s">
        <v>487</v>
      </c>
      <c r="B487" s="2" t="str">
        <f>IFERROR(__xludf.DUMMYFUNCTION("GOOGLETRANSLATE(A487,""ko"",""en"")"),"sleep")</f>
        <v>sleep</v>
      </c>
    </row>
    <row r="488">
      <c r="A488" s="1" t="s">
        <v>488</v>
      </c>
      <c r="B488" s="2" t="str">
        <f>IFERROR(__xludf.DUMMYFUNCTION("GOOGLETRANSLATE(A488,""ko"",""en"")"),"mostly")</f>
        <v>mostly</v>
      </c>
    </row>
    <row r="489">
      <c r="A489" s="1" t="s">
        <v>489</v>
      </c>
      <c r="B489" s="2" t="str">
        <f>IFERROR(__xludf.DUMMYFUNCTION("GOOGLETRANSLATE(A489,""ko"",""en"")"),"by far")</f>
        <v>by far</v>
      </c>
    </row>
    <row r="490">
      <c r="A490" s="1" t="s">
        <v>490</v>
      </c>
      <c r="B490" s="2" t="str">
        <f>IFERROR(__xludf.DUMMYFUNCTION("GOOGLETRANSLATE(A490,""ko"",""en"")"),"unification")</f>
        <v>unification</v>
      </c>
    </row>
    <row r="491">
      <c r="A491" s="1" t="s">
        <v>491</v>
      </c>
      <c r="B491" s="2" t="str">
        <f>IFERROR(__xludf.DUMMYFUNCTION("GOOGLETRANSLATE(A491,""ko"",""en"")"),"Enter")</f>
        <v>Enter</v>
      </c>
    </row>
    <row r="492">
      <c r="A492" s="1" t="s">
        <v>492</v>
      </c>
      <c r="B492" s="2" t="str">
        <f>IFERROR(__xludf.DUMMYFUNCTION("GOOGLETRANSLATE(A492,""ko"",""en"")"),"health")</f>
        <v>health</v>
      </c>
    </row>
    <row r="493">
      <c r="A493" s="1" t="s">
        <v>493</v>
      </c>
      <c r="B493" s="2" t="str">
        <f>IFERROR(__xludf.DUMMYFUNCTION("GOOGLETRANSLATE(A493,""ko"",""en"")"),"be near")</f>
        <v>be near</v>
      </c>
    </row>
    <row r="494">
      <c r="A494" s="1" t="s">
        <v>494</v>
      </c>
      <c r="B494" s="2" t="str">
        <f>IFERROR(__xludf.DUMMYFUNCTION("GOOGLETRANSLATE(A494,""ko"",""en"")"),"building")</f>
        <v>building</v>
      </c>
    </row>
    <row r="495">
      <c r="A495" s="1" t="s">
        <v>495</v>
      </c>
      <c r="B495" s="2" t="str">
        <f>IFERROR(__xludf.DUMMYFUNCTION("GOOGLETRANSLATE(A495,""ko"",""en"")"),"facilities")</f>
        <v>facilities</v>
      </c>
    </row>
    <row r="496">
      <c r="A496" s="1" t="s">
        <v>496</v>
      </c>
      <c r="B496" s="2" t="str">
        <f>IFERROR(__xludf.DUMMYFUNCTION("GOOGLETRANSLATE(A496,""ko"",""en"")"),"foreign country")</f>
        <v>foreign country</v>
      </c>
    </row>
    <row r="497">
      <c r="A497" s="1" t="s">
        <v>497</v>
      </c>
      <c r="B497" s="2" t="str">
        <f>IFERROR(__xludf.DUMMYFUNCTION("GOOGLETRANSLATE(A497,""ko"",""en"")"),"bottom")</f>
        <v>bottom</v>
      </c>
    </row>
    <row r="498">
      <c r="A498" s="1" t="s">
        <v>498</v>
      </c>
      <c r="B498" s="2" t="str">
        <f>IFERROR(__xludf.DUMMYFUNCTION("GOOGLETRANSLATE(A498,""ko"",""en"")"),"adult")</f>
        <v>adult</v>
      </c>
    </row>
    <row r="499">
      <c r="A499" s="1" t="s">
        <v>499</v>
      </c>
      <c r="B499" s="2" t="str">
        <f>IFERROR(__xludf.DUMMYFUNCTION("GOOGLETRANSLATE(A499,""ko"",""en"")"),"circumference")</f>
        <v>circumference</v>
      </c>
    </row>
    <row r="500">
      <c r="A500" s="1" t="s">
        <v>500</v>
      </c>
      <c r="B500" s="2" t="str">
        <f>IFERROR(__xludf.DUMMYFUNCTION("GOOGLETRANSLATE(A500,""ko"",""en"")"),"instead")</f>
        <v>instead</v>
      </c>
    </row>
    <row r="501">
      <c r="A501" s="1" t="s">
        <v>501</v>
      </c>
      <c r="B501" s="2" t="str">
        <f>IFERROR(__xludf.DUMMYFUNCTION("GOOGLETRANSLATE(A501,""ko"",""en"")"),"cause")</f>
        <v>cause</v>
      </c>
    </row>
    <row r="502">
      <c r="A502" s="1" t="s">
        <v>502</v>
      </c>
      <c r="B502" s="2" t="str">
        <f>IFERROR(__xludf.DUMMYFUNCTION("GOOGLETRANSLATE(A502,""ko"",""en"")"),"sell")</f>
        <v>sell</v>
      </c>
    </row>
    <row r="503">
      <c r="A503" s="1" t="s">
        <v>503</v>
      </c>
      <c r="B503" s="2" t="str">
        <f>IFERROR(__xludf.DUMMYFUNCTION("GOOGLETRANSLATE(A503,""ko"",""en"")"),"time")</f>
        <v>time</v>
      </c>
    </row>
    <row r="504">
      <c r="A504" s="1" t="s">
        <v>504</v>
      </c>
      <c r="B504" s="2" t="str">
        <f>IFERROR(__xludf.DUMMYFUNCTION("GOOGLETRANSLATE(A504,""ko"",""en"")"),"try hard")</f>
        <v>try hard</v>
      </c>
    </row>
    <row r="505">
      <c r="A505" s="1" t="s">
        <v>505</v>
      </c>
      <c r="B505" s="2" t="str">
        <f>IFERROR(__xludf.DUMMYFUNCTION("GOOGLETRANSLATE(A505,""ko"",""en"")"),"work")</f>
        <v>work</v>
      </c>
    </row>
    <row r="506">
      <c r="A506" s="1" t="s">
        <v>506</v>
      </c>
      <c r="B506" s="2" t="str">
        <f>IFERROR(__xludf.DUMMYFUNCTION("GOOGLETRANSLATE(A506,""ko"",""en"")"),"property")</f>
        <v>property</v>
      </c>
    </row>
    <row r="507">
      <c r="A507" s="1" t="s">
        <v>507</v>
      </c>
      <c r="B507" s="2" t="str">
        <f>IFERROR(__xludf.DUMMYFUNCTION("GOOGLETRANSLATE(A507,""ko"",""en"")"),"team")</f>
        <v>team</v>
      </c>
    </row>
    <row r="508">
      <c r="A508" s="1" t="s">
        <v>508</v>
      </c>
      <c r="B508" s="2" t="str">
        <f>IFERROR(__xludf.DUMMYFUNCTION("GOOGLETRANSLATE(A508,""ko"",""en"")"),"parents")</f>
        <v>parents</v>
      </c>
    </row>
    <row r="509">
      <c r="A509" s="1" t="s">
        <v>509</v>
      </c>
      <c r="B509" s="2" t="str">
        <f>IFERROR(__xludf.DUMMYFUNCTION("GOOGLETRANSLATE(A509,""ko"",""en"")"),"language")</f>
        <v>language</v>
      </c>
    </row>
    <row r="510">
      <c r="A510" s="1" t="s">
        <v>510</v>
      </c>
      <c r="B510" s="2" t="str">
        <f>IFERROR(__xludf.DUMMYFUNCTION("GOOGLETRANSLATE(A510,""ko"",""en"")"),"request")</f>
        <v>request</v>
      </c>
    </row>
    <row r="511">
      <c r="A511" s="1" t="s">
        <v>511</v>
      </c>
      <c r="B511" s="2" t="str">
        <f>IFERROR(__xludf.DUMMYFUNCTION("GOOGLETRANSLATE(A511,""ko"",""en"")"),"go up")</f>
        <v>go up</v>
      </c>
    </row>
    <row r="512">
      <c r="A512" s="1" t="s">
        <v>512</v>
      </c>
      <c r="B512" s="2" t="str">
        <f>IFERROR(__xludf.DUMMYFUNCTION("GOOGLETRANSLATE(A512,""ko"",""en"")"),"First")</f>
        <v>First</v>
      </c>
    </row>
    <row r="513">
      <c r="A513" s="1" t="s">
        <v>513</v>
      </c>
      <c r="B513" s="2" t="str">
        <f>IFERROR(__xludf.DUMMYFUNCTION("GOOGLETRANSLATE(A513,""ko"",""en"")"),"supervision")</f>
        <v>supervision</v>
      </c>
    </row>
    <row r="514">
      <c r="A514" s="1" t="s">
        <v>514</v>
      </c>
      <c r="B514" s="2" t="str">
        <f>IFERROR(__xludf.DUMMYFUNCTION("GOOGLETRANSLATE(A514,""ko"",""en"")"),"That day")</f>
        <v>That day</v>
      </c>
    </row>
    <row r="515">
      <c r="A515" s="1" t="s">
        <v>515</v>
      </c>
      <c r="B515" s="2" t="str">
        <f>IFERROR(__xludf.DUMMYFUNCTION("GOOGLETRANSLATE(A515,""ko"",""en"")"),"actually")</f>
        <v>actually</v>
      </c>
    </row>
    <row r="516">
      <c r="A516" s="1" t="s">
        <v>516</v>
      </c>
      <c r="B516" s="2" t="str">
        <f>IFERROR(__xludf.DUMMYFUNCTION("GOOGLETRANSLATE(A516,""ko"",""en"")"),"often")</f>
        <v>often</v>
      </c>
    </row>
    <row r="517">
      <c r="A517" s="1" t="s">
        <v>517</v>
      </c>
      <c r="B517" s="2" t="str">
        <f>IFERROR(__xludf.DUMMYFUNCTION("GOOGLETRANSLATE(A517,""ko"",""en"")"),"encounter")</f>
        <v>encounter</v>
      </c>
    </row>
    <row r="518">
      <c r="A518" s="1" t="s">
        <v>518</v>
      </c>
      <c r="B518" s="2" t="str">
        <f>IFERROR(__xludf.DUMMYFUNCTION("GOOGLETRANSLATE(A518,""ko"",""en"")"),"make")</f>
        <v>make</v>
      </c>
    </row>
    <row r="519">
      <c r="A519" s="1" t="s">
        <v>519</v>
      </c>
      <c r="B519" s="2" t="str">
        <f>IFERROR(__xludf.DUMMYFUNCTION("GOOGLETRANSLATE(A519,""ko"",""en"")"),"period")</f>
        <v>period</v>
      </c>
    </row>
    <row r="520">
      <c r="A520" s="1" t="s">
        <v>520</v>
      </c>
      <c r="B520" s="2" t="str">
        <f>IFERROR(__xludf.DUMMYFUNCTION("GOOGLETRANSLATE(A520,""ko"",""en"")"),"cigarette")</f>
        <v>cigarette</v>
      </c>
    </row>
    <row r="521">
      <c r="A521" s="1" t="s">
        <v>521</v>
      </c>
      <c r="B521" s="2" t="str">
        <f>IFERROR(__xludf.DUMMYFUNCTION("GOOGLETRANSLATE(A521,""ko"",""en"")"),"cause")</f>
        <v>cause</v>
      </c>
    </row>
    <row r="522">
      <c r="A522" s="1" t="s">
        <v>522</v>
      </c>
      <c r="B522" s="2" t="str">
        <f>IFERROR(__xludf.DUMMYFUNCTION("GOOGLETRANSLATE(A522,""ko"",""en"")"),"first")</f>
        <v>first</v>
      </c>
    </row>
    <row r="523">
      <c r="A523" s="1" t="s">
        <v>523</v>
      </c>
      <c r="B523" s="2" t="str">
        <f>IFERROR(__xludf.DUMMYFUNCTION("GOOGLETRANSLATE(A523,""ko"",""en"")"),"grandfather")</f>
        <v>grandfather</v>
      </c>
    </row>
    <row r="524">
      <c r="A524" s="1" t="s">
        <v>524</v>
      </c>
      <c r="B524" s="2" t="str">
        <f>IFERROR(__xludf.DUMMYFUNCTION("GOOGLETRANSLATE(A524,""ko"",""en"")"),"group")</f>
        <v>group</v>
      </c>
    </row>
    <row r="525">
      <c r="A525" s="1" t="s">
        <v>525</v>
      </c>
      <c r="B525" s="2" t="str">
        <f>IFERROR(__xludf.DUMMYFUNCTION("GOOGLETRANSLATE(A525,""ko"",""en"")"),"come into being")</f>
        <v>come into being</v>
      </c>
    </row>
    <row r="526">
      <c r="A526" s="1" t="s">
        <v>526</v>
      </c>
      <c r="B526" s="2" t="str">
        <f>IFERROR(__xludf.DUMMYFUNCTION("GOOGLETRANSLATE(A526,""ko"",""en"")"),"factory")</f>
        <v>factory</v>
      </c>
    </row>
    <row r="527">
      <c r="A527" s="1" t="s">
        <v>527</v>
      </c>
      <c r="B527" s="2" t="str">
        <f>IFERROR(__xludf.DUMMYFUNCTION("GOOGLETRANSLATE(A527,""ko"",""en"")"),"already")</f>
        <v>already</v>
      </c>
    </row>
    <row r="528">
      <c r="A528" s="1" t="s">
        <v>528</v>
      </c>
      <c r="B528" s="2" t="str">
        <f>IFERROR(__xludf.DUMMYFUNCTION("GOOGLETRANSLATE(A528,""ko"",""en"")"),"take pleasure in")</f>
        <v>take pleasure in</v>
      </c>
    </row>
    <row r="529">
      <c r="A529" s="1" t="s">
        <v>529</v>
      </c>
      <c r="B529" s="2" t="str">
        <f>IFERROR(__xludf.DUMMYFUNCTION("GOOGLETRANSLATE(A529,""ko"",""en"")"),"ji")</f>
        <v>ji</v>
      </c>
    </row>
    <row r="530">
      <c r="A530" s="1" t="s">
        <v>530</v>
      </c>
      <c r="B530" s="2" t="str">
        <f>IFERROR(__xludf.DUMMYFUNCTION("GOOGLETRANSLATE(A530,""ko"",""en"")"),"patient")</f>
        <v>patient</v>
      </c>
    </row>
    <row r="531">
      <c r="A531" s="1" t="s">
        <v>531</v>
      </c>
      <c r="B531" s="2" t="str">
        <f>IFERROR(__xludf.DUMMYFUNCTION("GOOGLETRANSLATE(A531,""ko"",""en"")"),"change")</f>
        <v>change</v>
      </c>
    </row>
    <row r="532">
      <c r="A532" s="1" t="s">
        <v>532</v>
      </c>
      <c r="B532" s="2" t="str">
        <f>IFERROR(__xludf.DUMMYFUNCTION("GOOGLETRANSLATE(A532,""ko"",""en"")"),"still")</f>
        <v>still</v>
      </c>
    </row>
    <row r="533">
      <c r="A533" s="1" t="s">
        <v>533</v>
      </c>
      <c r="B533" s="2" t="str">
        <f>IFERROR(__xludf.DUMMYFUNCTION("GOOGLETRANSLATE(A533,""ko"",""en"")"),"ever so")</f>
        <v>ever so</v>
      </c>
    </row>
    <row r="534">
      <c r="A534" s="1" t="s">
        <v>534</v>
      </c>
      <c r="B534" s="2" t="str">
        <f>IFERROR(__xludf.DUMMYFUNCTION("GOOGLETRANSLATE(A534,""ko"",""en"")"),"adjust")</f>
        <v>adjust</v>
      </c>
    </row>
    <row r="535">
      <c r="A535" s="1" t="s">
        <v>535</v>
      </c>
      <c r="B535" s="2" t="str">
        <f>IFERROR(__xludf.DUMMYFUNCTION("GOOGLETRANSLATE(A535,""ko"",""en"")"),"rice")</f>
        <v>rice</v>
      </c>
    </row>
    <row r="536">
      <c r="A536" s="1" t="s">
        <v>536</v>
      </c>
      <c r="B536" s="2" t="str">
        <f>IFERROR(__xludf.DUMMYFUNCTION("GOOGLETRANSLATE(A536,""ko"",""en"")"),"common")</f>
        <v>common</v>
      </c>
    </row>
    <row r="537">
      <c r="A537" s="1" t="s">
        <v>537</v>
      </c>
      <c r="B537" s="2" t="str">
        <f>IFERROR(__xludf.DUMMYFUNCTION("GOOGLETRANSLATE(A537,""ko"",""en"")"),"It's fun")</f>
        <v>It's fun</v>
      </c>
    </row>
    <row r="538">
      <c r="A538" s="1" t="s">
        <v>538</v>
      </c>
      <c r="B538" s="2" t="str">
        <f>IFERROR(__xludf.DUMMYFUNCTION("GOOGLETRANSLATE(A538,""ko"",""en"")"),"teach")</f>
        <v>teach</v>
      </c>
    </row>
    <row r="539">
      <c r="A539" s="1" t="s">
        <v>539</v>
      </c>
      <c r="B539" s="2" t="str">
        <f>IFERROR(__xludf.DUMMYFUNCTION("GOOGLETRANSLATE(A539,""ko"",""en"")"),"conversation")</f>
        <v>conversation</v>
      </c>
    </row>
    <row r="540">
      <c r="A540" s="1" t="s">
        <v>540</v>
      </c>
      <c r="B540" s="2" t="str">
        <f>IFERROR(__xludf.DUMMYFUNCTION("GOOGLETRANSLATE(A540,""ko"",""en"")"),"obstruct")</f>
        <v>obstruct</v>
      </c>
    </row>
    <row r="541">
      <c r="A541" s="1" t="s">
        <v>541</v>
      </c>
      <c r="B541" s="2" t="str">
        <f>IFERROR(__xludf.DUMMYFUNCTION("GOOGLETRANSLATE(A541,""ko"",""en"")"),"this year")</f>
        <v>this year</v>
      </c>
    </row>
    <row r="542">
      <c r="A542" s="1" t="s">
        <v>542</v>
      </c>
      <c r="B542" s="2" t="str">
        <f>IFERROR(__xludf.DUMMYFUNCTION("GOOGLETRANSLATE(A542,""ko"",""en"")"),"Dali")</f>
        <v>Dali</v>
      </c>
    </row>
    <row r="543">
      <c r="A543" s="1" t="s">
        <v>543</v>
      </c>
      <c r="B543" s="2" t="str">
        <f>IFERROR(__xludf.DUMMYFUNCTION("GOOGLETRANSLATE(A543,""ko"",""en"")"),"throw away")</f>
        <v>throw away</v>
      </c>
    </row>
    <row r="544">
      <c r="A544" s="1" t="s">
        <v>544</v>
      </c>
      <c r="B544" s="2" t="str">
        <f>IFERROR(__xludf.DUMMYFUNCTION("GOOGLETRANSLATE(A544,""ko"",""en"")"),"attach")</f>
        <v>attach</v>
      </c>
    </row>
    <row r="545">
      <c r="A545" s="1" t="s">
        <v>545</v>
      </c>
      <c r="B545" s="2" t="str">
        <f>IFERROR(__xludf.DUMMYFUNCTION("GOOGLETRANSLATE(A545,""ko"",""en"")"),"person")</f>
        <v>person</v>
      </c>
    </row>
    <row r="546">
      <c r="A546" s="1" t="s">
        <v>546</v>
      </c>
      <c r="B546" s="2" t="str">
        <f>IFERROR(__xludf.DUMMYFUNCTION("GOOGLETRANSLATE(A546,""ko"",""en"")"),"always")</f>
        <v>always</v>
      </c>
    </row>
    <row r="547">
      <c r="A547" s="1" t="s">
        <v>547</v>
      </c>
      <c r="B547" s="2" t="str">
        <f>IFERROR(__xludf.DUMMYFUNCTION("GOOGLETRANSLATE(A547,""ko"",""en"")"),"every")</f>
        <v>every</v>
      </c>
    </row>
    <row r="548">
      <c r="A548" s="1" t="s">
        <v>548</v>
      </c>
      <c r="B548" s="2" t="str">
        <f>IFERROR(__xludf.DUMMYFUNCTION("GOOGLETRANSLATE(A548,""ko"",""en"")"),"Nationwide")</f>
        <v>Nationwide</v>
      </c>
    </row>
    <row r="549">
      <c r="A549" s="1" t="s">
        <v>549</v>
      </c>
      <c r="B549" s="2" t="str">
        <f>IFERROR(__xludf.DUMMYFUNCTION("GOOGLETRANSLATE(A549,""ko"",""en"")"),"finish")</f>
        <v>finish</v>
      </c>
    </row>
    <row r="550">
      <c r="A550" s="1" t="s">
        <v>550</v>
      </c>
      <c r="B550" s="2" t="str">
        <f>IFERROR(__xludf.DUMMYFUNCTION("GOOGLETRANSLATE(A550,""ko"",""en"")"),"jeon")</f>
        <v>jeon</v>
      </c>
    </row>
    <row r="551">
      <c r="A551" s="1" t="s">
        <v>551</v>
      </c>
      <c r="B551" s="2" t="str">
        <f>IFERROR(__xludf.DUMMYFUNCTION("GOOGLETRANSLATE(A551,""ko"",""en"")"),"but")</f>
        <v>but</v>
      </c>
    </row>
    <row r="552">
      <c r="A552" s="1" t="s">
        <v>552</v>
      </c>
      <c r="B552" s="2" t="str">
        <f>IFERROR(__xludf.DUMMYFUNCTION("GOOGLETRANSLATE(A552,""ko"",""en"")"),"help")</f>
        <v>help</v>
      </c>
    </row>
    <row r="553">
      <c r="A553" s="1" t="s">
        <v>553</v>
      </c>
      <c r="B553" s="2" t="str">
        <f>IFERROR(__xludf.DUMMYFUNCTION("GOOGLETRANSLATE(A553,""ko"",""en"")"),"hang")</f>
        <v>hang</v>
      </c>
    </row>
    <row r="554">
      <c r="A554" s="1" t="s">
        <v>554</v>
      </c>
      <c r="B554" s="2" t="str">
        <f>IFERROR(__xludf.DUMMYFUNCTION("GOOGLETRANSLATE(A554,""ko"",""en"")"),"be far")</f>
        <v>be far</v>
      </c>
    </row>
    <row r="555">
      <c r="A555" s="1" t="s">
        <v>555</v>
      </c>
      <c r="B555" s="2" t="str">
        <f>IFERROR(__xludf.DUMMYFUNCTION("GOOGLETRANSLATE(A555,""ko"",""en"")"),"bus")</f>
        <v>bus</v>
      </c>
    </row>
    <row r="556">
      <c r="A556" s="1" t="s">
        <v>556</v>
      </c>
      <c r="B556" s="2" t="str">
        <f>IFERROR(__xludf.DUMMYFUNCTION("GOOGLETRANSLATE(A556,""ko"",""en"")"),"Today")</f>
        <v>Today</v>
      </c>
    </row>
    <row r="557">
      <c r="A557" s="1" t="s">
        <v>557</v>
      </c>
      <c r="B557" s="2" t="str">
        <f>IFERROR(__xludf.DUMMYFUNCTION("GOOGLETRANSLATE(A557,""ko"",""en"")"),"agriculture")</f>
        <v>agriculture</v>
      </c>
    </row>
    <row r="558">
      <c r="A558" s="1" t="s">
        <v>558</v>
      </c>
      <c r="B558" s="2" t="str">
        <f>IFERROR(__xludf.DUMMYFUNCTION("GOOGLETRANSLATE(A558,""ko"",""en"")"),"put")</f>
        <v>put</v>
      </c>
    </row>
    <row r="559">
      <c r="A559" s="1" t="s">
        <v>559</v>
      </c>
      <c r="B559" s="2" t="str">
        <f>IFERROR(__xludf.DUMMYFUNCTION("GOOGLETRANSLATE(A559,""ko"",""en"")"),"ceremony")</f>
        <v>ceremony</v>
      </c>
    </row>
    <row r="560">
      <c r="A560" s="1" t="s">
        <v>560</v>
      </c>
      <c r="B560" s="2" t="str">
        <f>IFERROR(__xludf.DUMMYFUNCTION("GOOGLETRANSLATE(A560,""ko"",""en"")"),"opinion")</f>
        <v>opinion</v>
      </c>
    </row>
    <row r="561">
      <c r="A561" s="1" t="s">
        <v>561</v>
      </c>
      <c r="B561" s="2" t="str">
        <f>IFERROR(__xludf.DUMMYFUNCTION("GOOGLETRANSLATE(A561,""ko"",""en"")"),"stage")</f>
        <v>stage</v>
      </c>
    </row>
    <row r="562">
      <c r="A562" s="1" t="s">
        <v>562</v>
      </c>
      <c r="B562" s="2" t="str">
        <f>IFERROR(__xludf.DUMMYFUNCTION("GOOGLETRANSLATE(A562,""ko"",""en"")"),"picture")</f>
        <v>picture</v>
      </c>
    </row>
    <row r="563">
      <c r="A563" s="1" t="s">
        <v>563</v>
      </c>
      <c r="B563" s="2" t="str">
        <f>IFERROR(__xludf.DUMMYFUNCTION("GOOGLETRANSLATE(A563,""ko"",""en"")"),"claim")</f>
        <v>claim</v>
      </c>
    </row>
    <row r="564">
      <c r="A564" s="1" t="s">
        <v>564</v>
      </c>
      <c r="B564" s="2" t="str">
        <f>IFERROR(__xludf.DUMMYFUNCTION("GOOGLETRANSLATE(A564,""ko"",""en"")"),"express")</f>
        <v>express</v>
      </c>
    </row>
    <row r="565">
      <c r="A565" s="1" t="s">
        <v>565</v>
      </c>
      <c r="B565" s="2" t="str">
        <f>IFERROR(__xludf.DUMMYFUNCTION("GOOGLETRANSLATE(A565,""ko"",""en"")"),"Inhada")</f>
        <v>Inhada</v>
      </c>
    </row>
    <row r="566">
      <c r="A566" s="1" t="s">
        <v>566</v>
      </c>
      <c r="B566" s="2" t="str">
        <f>IFERROR(__xludf.DUMMYFUNCTION("GOOGLETRANSLATE(A566,""ko"",""en"")"),"weird")</f>
        <v>weird</v>
      </c>
    </row>
    <row r="567">
      <c r="A567" s="1" t="s">
        <v>567</v>
      </c>
      <c r="B567" s="2" t="str">
        <f>IFERROR(__xludf.DUMMYFUNCTION("GOOGLETRANSLATE(A567,""ko"",""en"")"),"most")</f>
        <v>most</v>
      </c>
    </row>
    <row r="568">
      <c r="A568" s="1" t="s">
        <v>568</v>
      </c>
      <c r="B568" s="2" t="str">
        <f>IFERROR(__xludf.DUMMYFUNCTION("GOOGLETRANSLATE(A568,""ko"",""en"")"),"pass")</f>
        <v>pass</v>
      </c>
    </row>
    <row r="569">
      <c r="A569" s="1" t="s">
        <v>569</v>
      </c>
      <c r="B569" s="2" t="str">
        <f>IFERROR(__xludf.DUMMYFUNCTION("GOOGLETRANSLATE(A569,""ko"",""en"")"),"maybe")</f>
        <v>maybe</v>
      </c>
    </row>
    <row r="570">
      <c r="A570" s="1" t="s">
        <v>570</v>
      </c>
      <c r="B570" s="2" t="str">
        <f>IFERROR(__xludf.DUMMYFUNCTION("GOOGLETRANSLATE(A570,""ko"",""en"")"),"Talk")</f>
        <v>Talk</v>
      </c>
    </row>
    <row r="571">
      <c r="A571" s="1" t="s">
        <v>571</v>
      </c>
      <c r="B571" s="2" t="str">
        <f>IFERROR(__xludf.DUMMYFUNCTION("GOOGLETRANSLATE(A571,""ko"",""en"")"),"piece")</f>
        <v>piece</v>
      </c>
    </row>
    <row r="572">
      <c r="A572" s="1" t="s">
        <v>572</v>
      </c>
      <c r="B572" s="2" t="str">
        <f>IFERROR(__xludf.DUMMYFUNCTION("GOOGLETRANSLATE(A572,""ko"",""en"")"),"little")</f>
        <v>little</v>
      </c>
    </row>
    <row r="573">
      <c r="A573" s="1" t="s">
        <v>573</v>
      </c>
      <c r="B573" s="2" t="str">
        <f>IFERROR(__xludf.DUMMYFUNCTION("GOOGLETRANSLATE(A573,""ko"",""en"")"),"purpose")</f>
        <v>purpose</v>
      </c>
    </row>
    <row r="574">
      <c r="A574" s="1" t="s">
        <v>574</v>
      </c>
      <c r="B574" s="2" t="str">
        <f>IFERROR(__xludf.DUMMYFUNCTION("GOOGLETRANSLATE(A574,""ko"",""en"")"),"attitude")</f>
        <v>attitude</v>
      </c>
    </row>
    <row r="575">
      <c r="A575" s="1" t="s">
        <v>575</v>
      </c>
      <c r="B575" s="2" t="str">
        <f>IFERROR(__xludf.DUMMYFUNCTION("GOOGLETRANSLATE(A575,""ko"",""en"")"),"male")</f>
        <v>male</v>
      </c>
    </row>
    <row r="576">
      <c r="A576" s="1" t="s">
        <v>576</v>
      </c>
      <c r="B576" s="2" t="str">
        <f>IFERROR(__xludf.DUMMYFUNCTION("GOOGLETRANSLATE(A576,""ko"",""en"")"),"surroundings")</f>
        <v>surroundings</v>
      </c>
    </row>
    <row r="577">
      <c r="A577" s="1" t="s">
        <v>577</v>
      </c>
      <c r="B577" s="2" t="str">
        <f>IFERROR(__xludf.DUMMYFUNCTION("GOOGLETRANSLATE(A577,""ko"",""en"")"),"Countermeasures")</f>
        <v>Countermeasures</v>
      </c>
    </row>
    <row r="578">
      <c r="A578" s="1" t="s">
        <v>578</v>
      </c>
      <c r="B578" s="2" t="str">
        <f>IFERROR(__xludf.DUMMYFUNCTION("GOOGLETRANSLATE(A578,""ko"",""en"")"),"stop")</f>
        <v>stop</v>
      </c>
    </row>
    <row r="579">
      <c r="A579" s="1" t="s">
        <v>579</v>
      </c>
      <c r="B579" s="2" t="str">
        <f>IFERROR(__xludf.DUMMYFUNCTION("GOOGLETRANSLATE(A579,""ko"",""en"")"),"Occur")</f>
        <v>Occur</v>
      </c>
    </row>
    <row r="580">
      <c r="A580" s="1" t="s">
        <v>580</v>
      </c>
      <c r="B580" s="2" t="str">
        <f>IFERROR(__xludf.DUMMYFUNCTION("GOOGLETRANSLATE(A580,""ko"",""en"")"),"ingredient")</f>
        <v>ingredient</v>
      </c>
    </row>
    <row r="581">
      <c r="A581" s="1" t="s">
        <v>581</v>
      </c>
      <c r="B581" s="2" t="str">
        <f>IFERROR(__xludf.DUMMYFUNCTION("GOOGLETRANSLATE(A581,""ko"",""en"")"),"Never")</f>
        <v>Never</v>
      </c>
    </row>
    <row r="582">
      <c r="A582" s="1" t="s">
        <v>582</v>
      </c>
      <c r="B582" s="2" t="str">
        <f>IFERROR(__xludf.DUMMYFUNCTION("GOOGLETRANSLATE(A582,""ko"",""en"")"),"move")</f>
        <v>move</v>
      </c>
    </row>
    <row r="583">
      <c r="A583" s="1" t="s">
        <v>583</v>
      </c>
      <c r="B583" s="2" t="str">
        <f>IFERROR(__xludf.DUMMYFUNCTION("GOOGLETRANSLATE(A583,""ko"",""en"")"),"always")</f>
        <v>always</v>
      </c>
    </row>
    <row r="584">
      <c r="A584" s="1" t="s">
        <v>584</v>
      </c>
      <c r="B584" s="2" t="str">
        <f>IFERROR(__xludf.DUMMYFUNCTION("GOOGLETRANSLATE(A584,""ko"",""en"")"),"lose")</f>
        <v>lose</v>
      </c>
    </row>
    <row r="585">
      <c r="A585" s="1" t="s">
        <v>585</v>
      </c>
      <c r="B585" s="2" t="str">
        <f>IFERROR(__xludf.DUMMYFUNCTION("GOOGLETRANSLATE(A585,""ko"",""en"")"),"freedom")</f>
        <v>freedom</v>
      </c>
    </row>
    <row r="586">
      <c r="A586" s="1" t="s">
        <v>586</v>
      </c>
      <c r="B586" s="2" t="str">
        <f>IFERROR(__xludf.DUMMYFUNCTION("GOOGLETRANSLATE(A586,""ko"",""en"")"),"responsibility")</f>
        <v>responsibility</v>
      </c>
    </row>
    <row r="587">
      <c r="A587" s="1" t="s">
        <v>587</v>
      </c>
      <c r="B587" s="2" t="str">
        <f>IFERROR(__xludf.DUMMYFUNCTION("GOOGLETRANSLATE(A587,""ko"",""en"")"),"veer")</f>
        <v>veer</v>
      </c>
    </row>
    <row r="588">
      <c r="A588" s="1" t="s">
        <v>588</v>
      </c>
      <c r="B588" s="2" t="str">
        <f>IFERROR(__xludf.DUMMYFUNCTION("GOOGLETRANSLATE(A588,""ko"",""en"")"),"similar")</f>
        <v>similar</v>
      </c>
    </row>
    <row r="589">
      <c r="A589" s="1" t="s">
        <v>589</v>
      </c>
      <c r="B589" s="2" t="str">
        <f>IFERROR(__xludf.DUMMYFUNCTION("GOOGLETRANSLATE(A589,""ko"",""en"")"),"be extreme")</f>
        <v>be extreme</v>
      </c>
    </row>
    <row r="590">
      <c r="A590" s="1" t="s">
        <v>590</v>
      </c>
      <c r="B590" s="2" t="str">
        <f>IFERROR(__xludf.DUMMYFUNCTION("GOOGLETRANSLATE(A590,""ko"",""en"")"),"competition")</f>
        <v>competition</v>
      </c>
    </row>
    <row r="591">
      <c r="A591" s="1" t="s">
        <v>591</v>
      </c>
      <c r="B591" s="2" t="str">
        <f>IFERROR(__xludf.DUMMYFUNCTION("GOOGLETRANSLATE(A591,""ko"",""en"")"),"Love")</f>
        <v>Love</v>
      </c>
    </row>
    <row r="592">
      <c r="A592" s="1" t="s">
        <v>592</v>
      </c>
      <c r="B592" s="2" t="str">
        <f>IFERROR(__xludf.DUMMYFUNCTION("GOOGLETRANSLATE(A592,""ko"",""en"")"),"summer")</f>
        <v>summer</v>
      </c>
    </row>
    <row r="593">
      <c r="A593" s="1" t="s">
        <v>593</v>
      </c>
      <c r="B593" s="2" t="str">
        <f>IFERROR(__xludf.DUMMYFUNCTION("GOOGLETRANSLATE(A593,""ko"",""en"")"),"grow up")</f>
        <v>grow up</v>
      </c>
    </row>
    <row r="594">
      <c r="A594" s="1" t="s">
        <v>594</v>
      </c>
      <c r="B594" s="2" t="str">
        <f>IFERROR(__xludf.DUMMYFUNCTION("GOOGLETRANSLATE(A594,""ko"",""en"")"),"episode")</f>
        <v>episode</v>
      </c>
    </row>
    <row r="595">
      <c r="A595" s="1" t="s">
        <v>595</v>
      </c>
      <c r="B595" s="2" t="str">
        <f>IFERROR(__xludf.DUMMYFUNCTION("GOOGLETRANSLATE(A595,""ko"",""en"")"),"Specific")</f>
        <v>Specific</v>
      </c>
    </row>
    <row r="596">
      <c r="A596" s="1" t="s">
        <v>596</v>
      </c>
      <c r="B596" s="2" t="str">
        <f>IFERROR(__xludf.DUMMYFUNCTION("GOOGLETRANSLATE(A596,""ko"",""en"")"),"opportunity")</f>
        <v>opportunity</v>
      </c>
    </row>
    <row r="597">
      <c r="A597" s="1" t="s">
        <v>597</v>
      </c>
      <c r="B597" s="2" t="str">
        <f>IFERROR(__xludf.DUMMYFUNCTION("GOOGLETRANSLATE(A597,""ko"",""en"")"),"carry out")</f>
        <v>carry out</v>
      </c>
    </row>
    <row r="598">
      <c r="A598" s="1" t="s">
        <v>598</v>
      </c>
      <c r="B598" s="2" t="str">
        <f>IFERROR(__xludf.DUMMYFUNCTION("GOOGLETRANSLATE(A598,""ko"",""en"")"),"Second")</f>
        <v>Second</v>
      </c>
    </row>
    <row r="599">
      <c r="A599" s="1" t="s">
        <v>599</v>
      </c>
      <c r="B599" s="2" t="str">
        <f>IFERROR(__xludf.DUMMYFUNCTION("GOOGLETRANSLATE(A599,""ko"",""en"")"),"consumer")</f>
        <v>consumer</v>
      </c>
    </row>
    <row r="600">
      <c r="A600" s="1" t="s">
        <v>600</v>
      </c>
      <c r="B600" s="2" t="str">
        <f>IFERROR(__xludf.DUMMYFUNCTION("GOOGLETRANSLATE(A600,""ko"",""en"")"),"I don't like it")</f>
        <v>I don't like it</v>
      </c>
    </row>
    <row r="601">
      <c r="A601" s="1" t="s">
        <v>601</v>
      </c>
      <c r="B601" s="2" t="str">
        <f>IFERROR(__xludf.DUMMYFUNCTION("GOOGLETRANSLATE(A601,""ko"",""en"")"),"scale")</f>
        <v>scale</v>
      </c>
    </row>
    <row r="602">
      <c r="A602" s="1" t="s">
        <v>602</v>
      </c>
      <c r="B602" s="2" t="str">
        <f>IFERROR(__xludf.DUMMYFUNCTION("GOOGLETRANSLATE(A602,""ko"",""en"")"),"standard")</f>
        <v>standard</v>
      </c>
    </row>
    <row r="603">
      <c r="A603" s="1" t="s">
        <v>603</v>
      </c>
      <c r="B603" s="2" t="str">
        <f>IFERROR(__xludf.DUMMYFUNCTION("GOOGLETRANSLATE(A603,""ko"",""en"")"),"certainly")</f>
        <v>certainly</v>
      </c>
    </row>
    <row r="604">
      <c r="A604" s="1" t="s">
        <v>604</v>
      </c>
      <c r="B604" s="2" t="str">
        <f>IFERROR(__xludf.DUMMYFUNCTION("GOOGLETRANSLATE(A604,""ko"",""en"")"),"count")</f>
        <v>count</v>
      </c>
    </row>
    <row r="605">
      <c r="A605" s="1" t="s">
        <v>605</v>
      </c>
      <c r="B605" s="2" t="str">
        <f>IFERROR(__xludf.DUMMYFUNCTION("GOOGLETRANSLATE(A605,""ko"",""en"")"),"get ready")</f>
        <v>get ready</v>
      </c>
    </row>
    <row r="606">
      <c r="A606" s="1" t="s">
        <v>606</v>
      </c>
      <c r="B606" s="2" t="str">
        <f>IFERROR(__xludf.DUMMYFUNCTION("GOOGLETRANSLATE(A606,""ko"",""en"")"),"therefore")</f>
        <v>therefore</v>
      </c>
    </row>
    <row r="607">
      <c r="A607" s="1" t="s">
        <v>607</v>
      </c>
      <c r="B607" s="2" t="str">
        <f>IFERROR(__xludf.DUMMYFUNCTION("GOOGLETRANSLATE(A607,""ko"",""en"")"),"Accept")</f>
        <v>Accept</v>
      </c>
    </row>
    <row r="608">
      <c r="A608" s="1" t="s">
        <v>608</v>
      </c>
      <c r="B608" s="2" t="str">
        <f>IFERROR(__xludf.DUMMYFUNCTION("GOOGLETRANSLATE(A608,""ko"",""en"")"),"value")</f>
        <v>value</v>
      </c>
    </row>
    <row r="609">
      <c r="A609" s="1" t="s">
        <v>609</v>
      </c>
      <c r="B609" s="2" t="str">
        <f>IFERROR(__xludf.DUMMYFUNCTION("GOOGLETRANSLATE(A609,""ko"",""en"")"),"site")</f>
        <v>site</v>
      </c>
    </row>
    <row r="610">
      <c r="A610" s="1" t="s">
        <v>610</v>
      </c>
      <c r="B610" s="2" t="str">
        <f>IFERROR(__xludf.DUMMYFUNCTION("GOOGLETRANSLATE(A610,""ko"",""en"")"),"erection")</f>
        <v>erection</v>
      </c>
    </row>
    <row r="611">
      <c r="A611" s="1" t="s">
        <v>611</v>
      </c>
      <c r="B611" s="2" t="str">
        <f>IFERROR(__xludf.DUMMYFUNCTION("GOOGLETRANSLATE(A611,""ko"",""en"")"),"take out")</f>
        <v>take out</v>
      </c>
    </row>
    <row r="612">
      <c r="A612" s="1" t="s">
        <v>612</v>
      </c>
      <c r="B612" s="2" t="str">
        <f>IFERROR(__xludf.DUMMYFUNCTION("GOOGLETRANSLATE(A612,""ko"",""en"")"),"worker")</f>
        <v>worker</v>
      </c>
    </row>
    <row r="613">
      <c r="A613" s="1" t="s">
        <v>613</v>
      </c>
      <c r="B613" s="2" t="str">
        <f>IFERROR(__xludf.DUMMYFUNCTION("GOOGLETRANSLATE(A613,""ko"",""en"")"),"neighborhood")</f>
        <v>neighborhood</v>
      </c>
    </row>
    <row r="614">
      <c r="A614" s="1" t="s">
        <v>614</v>
      </c>
      <c r="B614" s="2" t="str">
        <f>IFERROR(__xludf.DUMMYFUNCTION("GOOGLETRANSLATE(A614,""ko"",""en"")"),"always")</f>
        <v>always</v>
      </c>
    </row>
    <row r="615">
      <c r="A615" s="1" t="s">
        <v>615</v>
      </c>
      <c r="B615" s="2" t="str">
        <f>IFERROR(__xludf.DUMMYFUNCTION("GOOGLETRANSLATE(A615,""ko"",""en"")"),"completely")</f>
        <v>completely</v>
      </c>
    </row>
    <row r="616">
      <c r="A616" s="1" t="s">
        <v>616</v>
      </c>
      <c r="B616" s="2" t="str">
        <f>IFERROR(__xludf.DUMMYFUNCTION("GOOGLETRANSLATE(A616,""ko"",""en"")"),"automobile")</f>
        <v>automobile</v>
      </c>
    </row>
    <row r="617">
      <c r="A617" s="1" t="s">
        <v>617</v>
      </c>
      <c r="B617" s="2" t="str">
        <f>IFERROR(__xludf.DUMMYFUNCTION("GOOGLETRANSLATE(A617,""ko"",""en"")"),"impart")</f>
        <v>impart</v>
      </c>
    </row>
    <row r="618">
      <c r="A618" s="1" t="s">
        <v>618</v>
      </c>
      <c r="B618" s="2" t="str">
        <f>IFERROR(__xludf.DUMMYFUNCTION("GOOGLETRANSLATE(A618,""ko"",""en"")"),"exist")</f>
        <v>exist</v>
      </c>
    </row>
    <row r="619">
      <c r="A619" s="1" t="s">
        <v>619</v>
      </c>
      <c r="B619" s="2" t="str">
        <f>IFERROR(__xludf.DUMMYFUNCTION("GOOGLETRANSLATE(A619,""ko"",""en"")"),"months")</f>
        <v>months</v>
      </c>
    </row>
    <row r="620">
      <c r="A620" s="1" t="s">
        <v>620</v>
      </c>
      <c r="B620" s="2" t="str">
        <f>IFERROR(__xludf.DUMMYFUNCTION("GOOGLETRANSLATE(A620,""ko"",""en"")"),"not really")</f>
        <v>not really</v>
      </c>
    </row>
    <row r="621">
      <c r="A621" s="1" t="s">
        <v>621</v>
      </c>
      <c r="B621" s="2" t="str">
        <f>IFERROR(__xludf.DUMMYFUNCTION("GOOGLETRANSLATE(A621,""ko"",""en"")"),"children")</f>
        <v>children</v>
      </c>
    </row>
    <row r="622">
      <c r="A622" s="1" t="s">
        <v>622</v>
      </c>
      <c r="B622" s="2" t="str">
        <f>IFERROR(__xludf.DUMMYFUNCTION("GOOGLETRANSLATE(A622,""ko"",""en"")"),"decide")</f>
        <v>decide</v>
      </c>
    </row>
    <row r="623">
      <c r="A623" s="1" t="s">
        <v>623</v>
      </c>
      <c r="B623" s="2" t="str">
        <f>IFERROR(__xludf.DUMMYFUNCTION("GOOGLETRANSLATE(A623,""ko"",""en"")"),"One word")</f>
        <v>One word</v>
      </c>
    </row>
    <row r="624">
      <c r="A624" s="1" t="s">
        <v>624</v>
      </c>
      <c r="B624" s="2" t="str">
        <f>IFERROR(__xludf.DUMMYFUNCTION("GOOGLETRANSLATE(A624,""ko"",""en"")"),"maintain")</f>
        <v>maintain</v>
      </c>
    </row>
    <row r="625">
      <c r="A625" s="1" t="s">
        <v>625</v>
      </c>
      <c r="B625" s="2" t="str">
        <f>IFERROR(__xludf.DUMMYFUNCTION("GOOGLETRANSLATE(A625,""ko"",""en"")"),"ideology")</f>
        <v>ideology</v>
      </c>
    </row>
    <row r="626">
      <c r="A626" s="1" t="s">
        <v>626</v>
      </c>
      <c r="B626" s="2" t="str">
        <f>IFERROR(__xludf.DUMMYFUNCTION("GOOGLETRANSLATE(A626,""ko"",""en"")"),"study")</f>
        <v>study</v>
      </c>
    </row>
    <row r="627">
      <c r="A627" s="1" t="s">
        <v>627</v>
      </c>
      <c r="B627" s="2" t="str">
        <f>IFERROR(__xludf.DUMMYFUNCTION("GOOGLETRANSLATE(A627,""ko"",""en"")"),"masses")</f>
        <v>masses</v>
      </c>
    </row>
    <row r="628">
      <c r="A628" s="1" t="s">
        <v>628</v>
      </c>
      <c r="B628" s="2" t="str">
        <f>IFERROR(__xludf.DUMMYFUNCTION("GOOGLETRANSLATE(A628,""ko"",""en"")"),"Increase")</f>
        <v>Increase</v>
      </c>
    </row>
    <row r="629">
      <c r="A629" s="1" t="s">
        <v>629</v>
      </c>
      <c r="B629" s="2" t="str">
        <f>IFERROR(__xludf.DUMMYFUNCTION("GOOGLETRANSLATE(A629,""ko"",""en"")"),"polish")</f>
        <v>polish</v>
      </c>
    </row>
    <row r="630">
      <c r="A630" s="1" t="s">
        <v>630</v>
      </c>
      <c r="B630" s="2" t="str">
        <f>IFERROR(__xludf.DUMMYFUNCTION("GOOGLETRANSLATE(A630,""ko"",""en"")"),"Words")</f>
        <v>Words</v>
      </c>
    </row>
    <row r="631">
      <c r="A631" s="1" t="s">
        <v>631</v>
      </c>
      <c r="B631" s="2" t="str">
        <f>IFERROR(__xludf.DUMMYFUNCTION("GOOGLETRANSLATE(A631,""ko"",""en"")"),"It's okay")</f>
        <v>It's okay</v>
      </c>
    </row>
    <row r="632">
      <c r="A632" s="1" t="s">
        <v>632</v>
      </c>
      <c r="B632" s="2" t="str">
        <f>IFERROR(__xludf.DUMMYFUNCTION("GOOGLETRANSLATE(A632,""ko"",""en"")"),"teardrop")</f>
        <v>teardrop</v>
      </c>
    </row>
    <row r="633">
      <c r="A633" s="1" t="s">
        <v>633</v>
      </c>
      <c r="B633" s="2" t="str">
        <f>IFERROR(__xludf.DUMMYFUNCTION("GOOGLETRANSLATE(A633,""ko"",""en"")"),"Various")</f>
        <v>Various</v>
      </c>
    </row>
    <row r="634">
      <c r="A634" s="1" t="s">
        <v>634</v>
      </c>
      <c r="B634" s="2" t="str">
        <f>IFERROR(__xludf.DUMMYFUNCTION("GOOGLETRANSLATE(A634,""ko"",""en"")"),"light")</f>
        <v>light</v>
      </c>
    </row>
    <row r="635">
      <c r="A635" s="1" t="s">
        <v>635</v>
      </c>
      <c r="B635" s="2" t="str">
        <f>IFERROR(__xludf.DUMMYFUNCTION("GOOGLETRANSLATE(A635,""ko"",""en"")"),"no")</f>
        <v>no</v>
      </c>
    </row>
    <row r="636">
      <c r="A636" s="1" t="s">
        <v>636</v>
      </c>
      <c r="B636" s="2" t="str">
        <f>IFERROR(__xludf.DUMMYFUNCTION("GOOGLETRANSLATE(A636,""ko"",""en"")"),"avoid")</f>
        <v>avoid</v>
      </c>
    </row>
    <row r="637">
      <c r="A637" s="1" t="s">
        <v>637</v>
      </c>
      <c r="B637" s="2" t="str">
        <f>IFERROR(__xludf.DUMMYFUNCTION("GOOGLETRANSLATE(A637,""ko"",""en"")"),"pass through")</f>
        <v>pass through</v>
      </c>
    </row>
    <row r="638">
      <c r="A638" s="1" t="s">
        <v>638</v>
      </c>
      <c r="B638" s="2" t="str">
        <f>IFERROR(__xludf.DUMMYFUNCTION("GOOGLETRANSLATE(A638,""ko"",""en"")"),"Go forward")</f>
        <v>Go forward</v>
      </c>
    </row>
    <row r="639">
      <c r="A639" s="1" t="s">
        <v>639</v>
      </c>
      <c r="B639" s="2" t="str">
        <f>IFERROR(__xludf.DUMMYFUNCTION("GOOGLETRANSLATE(A639,""ko"",""en"")"),"hey")</f>
        <v>hey</v>
      </c>
    </row>
    <row r="640">
      <c r="A640" s="1" t="s">
        <v>640</v>
      </c>
      <c r="B640" s="2" t="str">
        <f>IFERROR(__xludf.DUMMYFUNCTION("GOOGLETRANSLATE(A640,""ko"",""en"")"),"knowledge")</f>
        <v>knowledge</v>
      </c>
    </row>
    <row r="641">
      <c r="A641" s="1" t="s">
        <v>641</v>
      </c>
      <c r="B641" s="2" t="str">
        <f>IFERROR(__xludf.DUMMYFUNCTION("GOOGLETRANSLATE(A641,""ko"",""en"")"),"today")</f>
        <v>today</v>
      </c>
    </row>
    <row r="642">
      <c r="A642" s="1" t="s">
        <v>642</v>
      </c>
      <c r="B642" s="2" t="str">
        <f>IFERROR(__xludf.DUMMYFUNCTION("GOOGLETRANSLATE(A642,""ko"",""en"")"),"still")</f>
        <v>still</v>
      </c>
    </row>
    <row r="643">
      <c r="A643" s="1" t="s">
        <v>643</v>
      </c>
      <c r="B643" s="2" t="str">
        <f>IFERROR(__xludf.DUMMYFUNCTION("GOOGLETRANSLATE(A643,""ko"",""en"")"),"master")</f>
        <v>master</v>
      </c>
    </row>
    <row r="644">
      <c r="A644" s="1" t="s">
        <v>644</v>
      </c>
      <c r="B644" s="2" t="str">
        <f>IFERROR(__xludf.DUMMYFUNCTION("GOOGLETRANSLATE(A644,""ko"",""en"")"),"Discover")</f>
        <v>Discover</v>
      </c>
    </row>
    <row r="645">
      <c r="A645" s="1" t="s">
        <v>645</v>
      </c>
      <c r="B645" s="2" t="str">
        <f>IFERROR(__xludf.DUMMYFUNCTION("GOOGLETRANSLATE(A645,""ko"",""en"")"),"line")</f>
        <v>line</v>
      </c>
    </row>
    <row r="646">
      <c r="A646" s="1" t="s">
        <v>646</v>
      </c>
      <c r="B646" s="2" t="str">
        <f>IFERROR(__xludf.DUMMYFUNCTION("GOOGLETRANSLATE(A646,""ko"",""en"")"),"mankind")</f>
        <v>mankind</v>
      </c>
    </row>
    <row r="647">
      <c r="A647" s="1" t="s">
        <v>647</v>
      </c>
      <c r="B647" s="2" t="str">
        <f>IFERROR(__xludf.DUMMYFUNCTION("GOOGLETRANSLATE(A647,""ko"",""en"")"),"characteristic")</f>
        <v>characteristic</v>
      </c>
    </row>
    <row r="648">
      <c r="A648" s="1" t="s">
        <v>648</v>
      </c>
      <c r="B648" s="2" t="str">
        <f>IFERROR(__xludf.DUMMYFUNCTION("GOOGLETRANSLATE(A648,""ko"",""en"")"),"player")</f>
        <v>player</v>
      </c>
    </row>
    <row r="649">
      <c r="A649" s="1" t="s">
        <v>649</v>
      </c>
      <c r="B649" s="2" t="str">
        <f>IFERROR(__xludf.DUMMYFUNCTION("GOOGLETRANSLATE(A649,""ko"",""en"")"),"form")</f>
        <v>form</v>
      </c>
    </row>
    <row r="650">
      <c r="A650" s="1" t="s">
        <v>650</v>
      </c>
      <c r="B650" s="2" t="str">
        <f>IFERROR(__xludf.DUMMYFUNCTION("GOOGLETRANSLATE(A650,""ko"",""en"")"),"Prepare")</f>
        <v>Prepare</v>
      </c>
    </row>
    <row r="651">
      <c r="A651" s="1" t="s">
        <v>651</v>
      </c>
      <c r="B651" s="2" t="str">
        <f>IFERROR(__xludf.DUMMYFUNCTION("GOOGLETRANSLATE(A651,""ko"",""en"")"),"announce")</f>
        <v>announce</v>
      </c>
    </row>
    <row r="652">
      <c r="A652" s="1" t="s">
        <v>652</v>
      </c>
      <c r="B652" s="2" t="str">
        <f>IFERROR(__xludf.DUMMYFUNCTION("GOOGLETRANSLATE(A652,""ko"",""en"")"),"subject")</f>
        <v>subject</v>
      </c>
    </row>
    <row r="653">
      <c r="A653" s="1" t="s">
        <v>653</v>
      </c>
      <c r="B653" s="2" t="str">
        <f>IFERROR(__xludf.DUMMYFUNCTION("GOOGLETRANSLATE(A653,""ko"",""en"")"),"cover")</f>
        <v>cover</v>
      </c>
    </row>
    <row r="654">
      <c r="A654" s="1" t="s">
        <v>654</v>
      </c>
      <c r="B654" s="2" t="str">
        <f>IFERROR(__xludf.DUMMYFUNCTION("GOOGLETRANSLATE(A654,""ko"",""en"")"),"experience")</f>
        <v>experience</v>
      </c>
    </row>
    <row r="655">
      <c r="A655" s="1" t="s">
        <v>655</v>
      </c>
      <c r="B655" s="2" t="str">
        <f>IFERROR(__xludf.DUMMYFUNCTION("GOOGLETRANSLATE(A655,""ko"",""en"")"),"aspect")</f>
        <v>aspect</v>
      </c>
    </row>
    <row r="656">
      <c r="A656" s="1" t="s">
        <v>656</v>
      </c>
      <c r="B656" s="2" t="str">
        <f>IFERROR(__xludf.DUMMYFUNCTION("GOOGLETRANSLATE(A656,""ko"",""en"")"),"ear")</f>
        <v>ear</v>
      </c>
    </row>
    <row r="657">
      <c r="A657" s="1" t="s">
        <v>657</v>
      </c>
      <c r="B657" s="2" t="str">
        <f>IFERROR(__xludf.DUMMYFUNCTION("GOOGLETRANSLATE(A657,""ko"",""en"")"),"basic")</f>
        <v>basic</v>
      </c>
    </row>
    <row r="658">
      <c r="A658" s="1" t="s">
        <v>658</v>
      </c>
      <c r="B658" s="2" t="str">
        <f>IFERROR(__xludf.DUMMYFUNCTION("GOOGLETRANSLATE(A658,""ko"",""en"")"),"meter")</f>
        <v>meter</v>
      </c>
    </row>
    <row r="659">
      <c r="A659" s="1" t="s">
        <v>659</v>
      </c>
      <c r="B659" s="2" t="str">
        <f>IFERROR(__xludf.DUMMYFUNCTION("GOOGLETRANSLATE(A659,""ko"",""en"")"),"disappear")</f>
        <v>disappear</v>
      </c>
    </row>
    <row r="660">
      <c r="A660" s="1" t="s">
        <v>660</v>
      </c>
      <c r="B660" s="2" t="str">
        <f>IFERROR(__xludf.DUMMYFUNCTION("GOOGLETRANSLATE(A660,""ko"",""en"")"),"How is it?")</f>
        <v>How is it?</v>
      </c>
    </row>
    <row r="661">
      <c r="A661" s="1" t="s">
        <v>661</v>
      </c>
      <c r="B661" s="2" t="str">
        <f>IFERROR(__xludf.DUMMYFUNCTION("GOOGLETRANSLATE(A661,""ko"",""en"")"),"emotion")</f>
        <v>emotion</v>
      </c>
    </row>
    <row r="662">
      <c r="A662" s="1" t="s">
        <v>662</v>
      </c>
      <c r="B662" s="2" t="str">
        <f>IFERROR(__xludf.DUMMYFUNCTION("GOOGLETRANSLATE(A662,""ko"",""en"")"),"memory")</f>
        <v>memory</v>
      </c>
    </row>
    <row r="663">
      <c r="A663" s="1" t="s">
        <v>663</v>
      </c>
      <c r="B663" s="2" t="str">
        <f>IFERROR(__xludf.DUMMYFUNCTION("GOOGLETRANSLATE(A663,""ko"",""en"")"),"bloke")</f>
        <v>bloke</v>
      </c>
    </row>
    <row r="664">
      <c r="A664" s="1" t="s">
        <v>664</v>
      </c>
      <c r="B664" s="2" t="str">
        <f>IFERROR(__xludf.DUMMYFUNCTION("GOOGLETRANSLATE(A664,""ko"",""en"")"),"popularity")</f>
        <v>popularity</v>
      </c>
    </row>
    <row r="665">
      <c r="A665" s="1" t="s">
        <v>665</v>
      </c>
      <c r="B665" s="2" t="str">
        <f>IFERROR(__xludf.DUMMYFUNCTION("GOOGLETRANSLATE(A665,""ko"",""en"")"),"apartment")</f>
        <v>apartment</v>
      </c>
    </row>
    <row r="666">
      <c r="A666" s="1" t="s">
        <v>666</v>
      </c>
      <c r="B666" s="2" t="str">
        <f>IFERROR(__xludf.DUMMYFUNCTION("GOOGLETRANSLATE(A666,""ko"",""en"")"),"sometimes")</f>
        <v>sometimes</v>
      </c>
    </row>
    <row r="667">
      <c r="A667" s="1" t="s">
        <v>667</v>
      </c>
      <c r="B667" s="2" t="str">
        <f>IFERROR(__xludf.DUMMYFUNCTION("GOOGLETRANSLATE(A667,""ko"",""en"")"),"composition")</f>
        <v>composition</v>
      </c>
    </row>
    <row r="668">
      <c r="A668" s="1" t="s">
        <v>668</v>
      </c>
      <c r="B668" s="2" t="str">
        <f>IFERROR(__xludf.DUMMYFUNCTION("GOOGLETRANSLATE(A668,""ko"",""en"")"),"alcohol")</f>
        <v>alcohol</v>
      </c>
    </row>
    <row r="669">
      <c r="A669" s="1" t="s">
        <v>669</v>
      </c>
      <c r="B669" s="2" t="str">
        <f>IFERROR(__xludf.DUMMYFUNCTION("GOOGLETRANSLATE(A669,""ko"",""en"")"),"actually")</f>
        <v>actually</v>
      </c>
    </row>
    <row r="670">
      <c r="A670" s="1" t="s">
        <v>670</v>
      </c>
      <c r="B670" s="2" t="str">
        <f>IFERROR(__xludf.DUMMYFUNCTION("GOOGLETRANSLATE(A670,""ko"",""en"")"),"short")</f>
        <v>short</v>
      </c>
    </row>
    <row r="671">
      <c r="A671" s="1" t="s">
        <v>671</v>
      </c>
      <c r="B671" s="2" t="str">
        <f>IFERROR(__xludf.DUMMYFUNCTION("GOOGLETRANSLATE(A671,""ko"",""en"")"),"thanks")</f>
        <v>thanks</v>
      </c>
    </row>
    <row r="672">
      <c r="A672" s="1" t="s">
        <v>672</v>
      </c>
      <c r="B672" s="2" t="str">
        <f>IFERROR(__xludf.DUMMYFUNCTION("GOOGLETRANSLATE(A672,""ko"",""en"")"),"There")</f>
        <v>There</v>
      </c>
    </row>
    <row r="673">
      <c r="A673" s="1" t="s">
        <v>673</v>
      </c>
      <c r="B673" s="2" t="str">
        <f>IFERROR(__xludf.DUMMYFUNCTION("GOOGLETRANSLATE(A673,""ko"",""en"")"),"see")</f>
        <v>see</v>
      </c>
    </row>
    <row r="674">
      <c r="A674" s="1" t="s">
        <v>674</v>
      </c>
      <c r="B674" s="2" t="str">
        <f>IFERROR(__xludf.DUMMYFUNCTION("GOOGLETRANSLATE(A674,""ko"",""en"")"),"Begin")</f>
        <v>Begin</v>
      </c>
    </row>
    <row r="675">
      <c r="A675" s="1" t="s">
        <v>675</v>
      </c>
      <c r="B675" s="2" t="str">
        <f>IFERROR(__xludf.DUMMYFUNCTION("GOOGLETRANSLATE(A675,""ko"",""en"")"),"indeed")</f>
        <v>indeed</v>
      </c>
    </row>
    <row r="676">
      <c r="A676" s="1" t="s">
        <v>676</v>
      </c>
      <c r="B676" s="2" t="str">
        <f>IFERROR(__xludf.DUMMYFUNCTION("GOOGLETRANSLATE(A676,""ko"",""en"")"),"obsess")</f>
        <v>obsess</v>
      </c>
    </row>
    <row r="677">
      <c r="A677" s="1" t="s">
        <v>677</v>
      </c>
      <c r="B677" s="2" t="str">
        <f>IFERROR(__xludf.DUMMYFUNCTION("GOOGLETRANSLATE(A677,""ko"",""en"")"),"busy")</f>
        <v>busy</v>
      </c>
    </row>
    <row r="678">
      <c r="A678" s="1" t="s">
        <v>678</v>
      </c>
      <c r="B678" s="2" t="str">
        <f>IFERROR(__xludf.DUMMYFUNCTION("GOOGLETRANSLATE(A678,""ko"",""en"")"),"before")</f>
        <v>before</v>
      </c>
    </row>
    <row r="679">
      <c r="A679" s="1" t="s">
        <v>679</v>
      </c>
      <c r="B679" s="2" t="str">
        <f>IFERROR(__xludf.DUMMYFUNCTION("GOOGLETRANSLATE(A679,""ko"",""en"")"),"recognize")</f>
        <v>recognize</v>
      </c>
    </row>
    <row r="680">
      <c r="A680" s="1" t="s">
        <v>680</v>
      </c>
      <c r="B680" s="2" t="str">
        <f>IFERROR(__xludf.DUMMYFUNCTION("GOOGLETRANSLATE(A680,""ko"",""en"")"),"center")</f>
        <v>center</v>
      </c>
    </row>
    <row r="681">
      <c r="A681" s="1" t="s">
        <v>681</v>
      </c>
      <c r="B681" s="2" t="str">
        <f>IFERROR(__xludf.DUMMYFUNCTION("GOOGLETRANSLATE(A681,""ko"",""en"")"),"bad")</f>
        <v>bad</v>
      </c>
    </row>
    <row r="682">
      <c r="A682" s="1" t="s">
        <v>682</v>
      </c>
      <c r="B682" s="2" t="str">
        <f>IFERROR(__xludf.DUMMYFUNCTION("GOOGLETRANSLATE(A682,""ko"",""en"")"),"Despite")</f>
        <v>Despite</v>
      </c>
    </row>
    <row r="683">
      <c r="A683" s="1" t="s">
        <v>683</v>
      </c>
      <c r="B683" s="2" t="str">
        <f>IFERROR(__xludf.DUMMYFUNCTION("GOOGLETRANSLATE(A683,""ko"",""en"")"),"set")</f>
        <v>set</v>
      </c>
    </row>
    <row r="684">
      <c r="A684" s="1" t="s">
        <v>684</v>
      </c>
      <c r="B684" s="2" t="str">
        <f>IFERROR(__xludf.DUMMYFUNCTION("GOOGLETRANSLATE(A684,""ko"",""en"")"),"game")</f>
        <v>game</v>
      </c>
    </row>
    <row r="685">
      <c r="A685" s="1" t="s">
        <v>685</v>
      </c>
      <c r="B685" s="2" t="str">
        <f>IFERROR(__xludf.DUMMYFUNCTION("GOOGLETRANSLATE(A685,""ko"",""en"")"),"International")</f>
        <v>International</v>
      </c>
    </row>
    <row r="686">
      <c r="A686" s="1" t="s">
        <v>686</v>
      </c>
      <c r="B686" s="2" t="str">
        <f>IFERROR(__xludf.DUMMYFUNCTION("GOOGLETRANSLATE(A686,""ko"",""en"")"),"group")</f>
        <v>group</v>
      </c>
    </row>
    <row r="687">
      <c r="A687" s="1" t="s">
        <v>687</v>
      </c>
      <c r="B687" s="2" t="str">
        <f>IFERROR(__xludf.DUMMYFUNCTION("GOOGLETRANSLATE(A687,""ko"",""en"")"),"life")</f>
        <v>life</v>
      </c>
    </row>
    <row r="688">
      <c r="A688" s="1" t="s">
        <v>688</v>
      </c>
      <c r="B688" s="2" t="str">
        <f>IFERROR(__xludf.DUMMYFUNCTION("GOOGLETRANSLATE(A688,""ko"",""en"")"),"tradition")</f>
        <v>tradition</v>
      </c>
    </row>
    <row r="689">
      <c r="A689" s="1" t="s">
        <v>689</v>
      </c>
      <c r="B689" s="2" t="str">
        <f>IFERROR(__xludf.DUMMYFUNCTION("GOOGLETRANSLATE(A689,""ko"",""en"")"),"cultivate")</f>
        <v>cultivate</v>
      </c>
    </row>
    <row r="690">
      <c r="A690" s="1" t="s">
        <v>690</v>
      </c>
      <c r="B690" s="2" t="str">
        <f>IFERROR(__xludf.DUMMYFUNCTION("GOOGLETRANSLATE(A690,""ko"",""en"")"),"glass")</f>
        <v>glass</v>
      </c>
    </row>
    <row r="691">
      <c r="A691" s="1" t="s">
        <v>691</v>
      </c>
      <c r="B691" s="2" t="str">
        <f>IFERROR(__xludf.DUMMYFUNCTION("GOOGLETRANSLATE(A691,""ko"",""en"")"),"Investigate")</f>
        <v>Investigate</v>
      </c>
    </row>
    <row r="692">
      <c r="A692" s="1" t="s">
        <v>692</v>
      </c>
      <c r="B692" s="2" t="str">
        <f>IFERROR(__xludf.DUMMYFUNCTION("GOOGLETRANSLATE(A692,""ko"",""en"")"),"It's big")</f>
        <v>It's big</v>
      </c>
    </row>
    <row r="693">
      <c r="A693" s="1" t="s">
        <v>693</v>
      </c>
      <c r="B693" s="2" t="str">
        <f>IFERROR(__xludf.DUMMYFUNCTION("GOOGLETRANSLATE(A693,""ko"",""en"")"),"poet")</f>
        <v>poet</v>
      </c>
    </row>
    <row r="694">
      <c r="A694" s="1" t="s">
        <v>694</v>
      </c>
      <c r="B694" s="2" t="str">
        <f>IFERROR(__xludf.DUMMYFUNCTION("GOOGLETRANSLATE(A694,""ko"",""en"")"),"except")</f>
        <v>except</v>
      </c>
    </row>
    <row r="695">
      <c r="A695" s="1" t="s">
        <v>695</v>
      </c>
      <c r="B695" s="2" t="str">
        <f>IFERROR(__xludf.DUMMYFUNCTION("GOOGLETRANSLATE(A695,""ko"",""en"")"),"evaluation")</f>
        <v>evaluation</v>
      </c>
    </row>
    <row r="696">
      <c r="A696" s="1" t="s">
        <v>696</v>
      </c>
      <c r="B696" s="2" t="str">
        <f>IFERROR(__xludf.DUMMYFUNCTION("GOOGLETRANSLATE(A696,""ko"",""en"")"),"Come down")</f>
        <v>Come down</v>
      </c>
    </row>
    <row r="697">
      <c r="A697" s="1" t="s">
        <v>697</v>
      </c>
      <c r="B697" s="2" t="str">
        <f>IFERROR(__xludf.DUMMYFUNCTION("GOOGLETRANSLATE(A697,""ko"",""en"")"),"location")</f>
        <v>location</v>
      </c>
    </row>
    <row r="698">
      <c r="A698" s="1" t="s">
        <v>698</v>
      </c>
      <c r="B698" s="2" t="str">
        <f>IFERROR(__xludf.DUMMYFUNCTION("GOOGLETRANSLATE(A698,""ko"",""en"")"),"reduce")</f>
        <v>reduce</v>
      </c>
    </row>
    <row r="699">
      <c r="A699" s="1" t="s">
        <v>699</v>
      </c>
      <c r="B699" s="2" t="str">
        <f>IFERROR(__xludf.DUMMYFUNCTION("GOOGLETRANSLATE(A699,""ko"",""en"")"),"price")</f>
        <v>price</v>
      </c>
    </row>
    <row r="700">
      <c r="A700" s="1" t="s">
        <v>700</v>
      </c>
      <c r="B700" s="2" t="str">
        <f>IFERROR(__xludf.DUMMYFUNCTION("GOOGLETRANSLATE(A700,""ko"",""en"")"),"change")</f>
        <v>change</v>
      </c>
    </row>
    <row r="701">
      <c r="A701" s="1" t="s">
        <v>701</v>
      </c>
      <c r="B701" s="2" t="str">
        <f>IFERROR(__xludf.DUMMYFUNCTION("GOOGLETRANSLATE(A701,""ko"",""en"")"),"be empty")</f>
        <v>be empty</v>
      </c>
    </row>
    <row r="702">
      <c r="A702" s="1" t="s">
        <v>702</v>
      </c>
      <c r="B702" s="2" t="str">
        <f>IFERROR(__xludf.DUMMYFUNCTION("GOOGLETRANSLATE(A702,""ko"",""en"")"),"Three Kingdoms")</f>
        <v>Three Kingdoms</v>
      </c>
    </row>
    <row r="703">
      <c r="A703" s="1" t="s">
        <v>703</v>
      </c>
      <c r="B703" s="2" t="str">
        <f>IFERROR(__xludf.DUMMYFUNCTION("GOOGLETRANSLATE(A703,""ko"",""en"")"),"customer")</f>
        <v>customer</v>
      </c>
    </row>
    <row r="704">
      <c r="A704" s="1" t="s">
        <v>704</v>
      </c>
      <c r="B704" s="2" t="str">
        <f>IFERROR(__xludf.DUMMYFUNCTION("GOOGLETRANSLATE(A704,""ko"",""en"")"),"want")</f>
        <v>want</v>
      </c>
    </row>
    <row r="705">
      <c r="A705" s="1" t="s">
        <v>705</v>
      </c>
      <c r="B705" s="2" t="str">
        <f>IFERROR(__xludf.DUMMYFUNCTION("GOOGLETRANSLATE(A705,""ko"",""en"")"),"communication")</f>
        <v>communication</v>
      </c>
    </row>
    <row r="706">
      <c r="A706" s="1" t="s">
        <v>706</v>
      </c>
      <c r="B706" s="2" t="str">
        <f>IFERROR(__xludf.DUMMYFUNCTION("GOOGLETRANSLATE(A706,""ko"",""en"")"),"check")</f>
        <v>check</v>
      </c>
    </row>
    <row r="707">
      <c r="A707" s="1" t="s">
        <v>707</v>
      </c>
      <c r="B707" s="2" t="str">
        <f>IFERROR(__xludf.DUMMYFUNCTION("GOOGLETRANSLATE(A707,""ko"",""en"")"),"class")</f>
        <v>class</v>
      </c>
    </row>
    <row r="708">
      <c r="A708" s="1" t="s">
        <v>708</v>
      </c>
      <c r="B708" s="2" t="str">
        <f>IFERROR(__xludf.DUMMYFUNCTION("GOOGLETRANSLATE(A708,""ko"",""en"")"),"any")</f>
        <v>any</v>
      </c>
    </row>
    <row r="709">
      <c r="A709" s="1" t="s">
        <v>709</v>
      </c>
      <c r="B709" s="2" t="str">
        <f>IFERROR(__xludf.DUMMYFUNCTION("GOOGLETRANSLATE(A709,""ko"",""en"")"),"laugh")</f>
        <v>laugh</v>
      </c>
    </row>
    <row r="710">
      <c r="A710" s="1" t="s">
        <v>710</v>
      </c>
      <c r="B710" s="2" t="str">
        <f>IFERROR(__xludf.DUMMYFUNCTION("GOOGLETRANSLATE(A710,""ko"",""en"")"),"machine")</f>
        <v>machine</v>
      </c>
    </row>
    <row r="711">
      <c r="A711" s="1" t="s">
        <v>711</v>
      </c>
      <c r="B711" s="2" t="str">
        <f>IFERROR(__xludf.DUMMYFUNCTION("GOOGLETRANSLATE(A711,""ko"",""en"")"),"shape")</f>
        <v>shape</v>
      </c>
    </row>
    <row r="712">
      <c r="A712" s="1" t="s">
        <v>712</v>
      </c>
      <c r="B712" s="2" t="str">
        <f>IFERROR(__xludf.DUMMYFUNCTION("GOOGLETRANSLATE(A712,""ko"",""en"")"),"substance")</f>
        <v>substance</v>
      </c>
    </row>
    <row r="713">
      <c r="A713" s="1" t="s">
        <v>713</v>
      </c>
      <c r="B713" s="2" t="str">
        <f>IFERROR(__xludf.DUMMYFUNCTION("GOOGLETRANSLATE(A713,""ko"",""en"")"),"announcer")</f>
        <v>announcer</v>
      </c>
    </row>
    <row r="714">
      <c r="A714" s="1" t="s">
        <v>714</v>
      </c>
      <c r="B714" s="2" t="str">
        <f>IFERROR(__xludf.DUMMYFUNCTION("GOOGLETRANSLATE(A714,""ko"",""en"")"),"news")</f>
        <v>news</v>
      </c>
    </row>
    <row r="715">
      <c r="A715" s="1" t="s">
        <v>715</v>
      </c>
      <c r="B715" s="2" t="str">
        <f>IFERROR(__xludf.DUMMYFUNCTION("GOOGLETRANSLATE(A715,""ko"",""en"")"),"Live on")</f>
        <v>Live on</v>
      </c>
    </row>
    <row r="716">
      <c r="A716" s="1" t="s">
        <v>716</v>
      </c>
      <c r="B716" s="2" t="str">
        <f>IFERROR(__xludf.DUMMYFUNCTION("GOOGLETRANSLATE(A716,""ko"",""en"")"),"spread")</f>
        <v>spread</v>
      </c>
    </row>
    <row r="717">
      <c r="A717" s="1" t="s">
        <v>717</v>
      </c>
      <c r="B717" s="2" t="str">
        <f>IFERROR(__xludf.DUMMYFUNCTION("GOOGLETRANSLATE(A717,""ko"",""en"")"),"winter")</f>
        <v>winter</v>
      </c>
    </row>
    <row r="718">
      <c r="A718" s="1" t="s">
        <v>718</v>
      </c>
      <c r="B718" s="2" t="str">
        <f>IFERROR(__xludf.DUMMYFUNCTION("GOOGLETRANSLATE(A718,""ko"",""en"")"),"religion")</f>
        <v>religion</v>
      </c>
    </row>
    <row r="719">
      <c r="A719" s="1" t="s">
        <v>719</v>
      </c>
      <c r="B719" s="2" t="str">
        <f>IFERROR(__xludf.DUMMYFUNCTION("GOOGLETRANSLATE(A719,""ko"",""en"")"),"floor")</f>
        <v>floor</v>
      </c>
    </row>
    <row r="720">
      <c r="A720" s="1" t="s">
        <v>720</v>
      </c>
      <c r="B720" s="2" t="str">
        <f>IFERROR(__xludf.DUMMYFUNCTION("GOOGLETRANSLATE(A720,""ko"",""en"")"),"It's natural")</f>
        <v>It's natural</v>
      </c>
    </row>
    <row r="721">
      <c r="A721" s="1" t="s">
        <v>721</v>
      </c>
      <c r="B721" s="2" t="str">
        <f>IFERROR(__xludf.DUMMYFUNCTION("GOOGLETRANSLATE(A721,""ko"",""en"")"),"turn")</f>
        <v>turn</v>
      </c>
    </row>
    <row r="722">
      <c r="A722" s="1" t="s">
        <v>722</v>
      </c>
      <c r="B722" s="2" t="str">
        <f>IFERROR(__xludf.DUMMYFUNCTION("GOOGLETRANSLATE(A722,""ko"",""en"")"),"meal")</f>
        <v>meal</v>
      </c>
    </row>
    <row r="723">
      <c r="A723" s="1" t="s">
        <v>723</v>
      </c>
      <c r="B723" s="2" t="str">
        <f>IFERROR(__xludf.DUMMYFUNCTION("GOOGLETRANSLATE(A723,""ko"",""en"")"),"embrace")</f>
        <v>embrace</v>
      </c>
    </row>
    <row r="724">
      <c r="A724" s="1" t="s">
        <v>724</v>
      </c>
      <c r="B724" s="2" t="str">
        <f>IFERROR(__xludf.DUMMYFUNCTION("GOOGLETRANSLATE(A724,""ko"",""en"")"),"forget")</f>
        <v>forget</v>
      </c>
    </row>
    <row r="725">
      <c r="A725" s="1" t="s">
        <v>725</v>
      </c>
      <c r="B725" s="2" t="str">
        <f>IFERROR(__xludf.DUMMYFUNCTION("GOOGLETRANSLATE(A725,""ko"",""en"")"),"Present")</f>
        <v>Present</v>
      </c>
    </row>
    <row r="726">
      <c r="A726" s="1" t="s">
        <v>726</v>
      </c>
      <c r="B726" s="2" t="str">
        <f>IFERROR(__xludf.DUMMYFUNCTION("GOOGLETRANSLATE(A726,""ko"",""en"")"),"half")</f>
        <v>half</v>
      </c>
    </row>
    <row r="727">
      <c r="A727" s="1" t="s">
        <v>727</v>
      </c>
      <c r="B727" s="2" t="str">
        <f>IFERROR(__xludf.DUMMYFUNCTION("GOOGLETRANSLATE(A727,""ko"",""en"")"),"It's just")</f>
        <v>It's just</v>
      </c>
    </row>
    <row r="728">
      <c r="A728" s="1" t="s">
        <v>728</v>
      </c>
      <c r="B728" s="2" t="str">
        <f>IFERROR(__xludf.DUMMYFUNCTION("GOOGLETRANSLATE(A728,""ko"",""en"")"),"Or")</f>
        <v>Or</v>
      </c>
    </row>
    <row r="729">
      <c r="A729" s="1" t="s">
        <v>729</v>
      </c>
      <c r="B729" s="2" t="str">
        <f>IFERROR(__xludf.DUMMYFUNCTION("GOOGLETRANSLATE(A729,""ko"",""en"")"),"It's huge")</f>
        <v>It's huge</v>
      </c>
    </row>
    <row r="730">
      <c r="A730" s="1" t="s">
        <v>730</v>
      </c>
      <c r="B730" s="2" t="str">
        <f>IFERROR(__xludf.DUMMYFUNCTION("GOOGLETRANSLATE(A730,""ko"",""en"")"),"television")</f>
        <v>television</v>
      </c>
    </row>
    <row r="731">
      <c r="A731" s="1" t="s">
        <v>731</v>
      </c>
      <c r="B731" s="2" t="str">
        <f>IFERROR(__xludf.DUMMYFUNCTION("GOOGLETRANSLATE(A731,""ko"",""en"")"),"figure out")</f>
        <v>figure out</v>
      </c>
    </row>
    <row r="732">
      <c r="A732" s="1" t="s">
        <v>732</v>
      </c>
      <c r="B732" s="2" t="str">
        <f>IFERROR(__xludf.DUMMYFUNCTION("GOOGLETRANSLATE(A732,""ko"",""en"")"),"Practice")</f>
        <v>Practice</v>
      </c>
    </row>
    <row r="733">
      <c r="A733" s="1" t="s">
        <v>733</v>
      </c>
      <c r="B733" s="2" t="str">
        <f>IFERROR(__xludf.DUMMYFUNCTION("GOOGLETRANSLATE(A733,""ko"",""en"")"),"try hard")</f>
        <v>try hard</v>
      </c>
    </row>
    <row r="734">
      <c r="A734" s="1" t="s">
        <v>734</v>
      </c>
      <c r="B734" s="2" t="str">
        <f>IFERROR(__xludf.DUMMYFUNCTION("GOOGLETRANSLATE(A734,""ko"",""en"")"),"protect")</f>
        <v>protect</v>
      </c>
    </row>
    <row r="735">
      <c r="A735" s="1" t="s">
        <v>735</v>
      </c>
      <c r="B735" s="2" t="str">
        <f>IFERROR(__xludf.DUMMYFUNCTION("GOOGLETRANSLATE(A735,""ko"",""en"")"),"wash")</f>
        <v>wash</v>
      </c>
    </row>
    <row r="736">
      <c r="A736" s="1" t="s">
        <v>736</v>
      </c>
      <c r="B736" s="2" t="str">
        <f>IFERROR(__xludf.DUMMYFUNCTION("GOOGLETRANSLATE(A736,""ko"",""en"")"),"one side")</f>
        <v>one side</v>
      </c>
    </row>
    <row r="737">
      <c r="A737" s="1" t="s">
        <v>737</v>
      </c>
      <c r="B737" s="2" t="str">
        <f>IFERROR(__xludf.DUMMYFUNCTION("GOOGLETRANSLATE(A737,""ko"",""en"")"),"neighbor")</f>
        <v>neighbor</v>
      </c>
    </row>
    <row r="738">
      <c r="A738" s="1" t="s">
        <v>738</v>
      </c>
      <c r="B738" s="2" t="str">
        <f>IFERROR(__xludf.DUMMYFUNCTION("GOOGLETRANSLATE(A738,""ko"",""en"")"),"letter")</f>
        <v>letter</v>
      </c>
    </row>
    <row r="739">
      <c r="A739" s="1" t="s">
        <v>739</v>
      </c>
      <c r="B739" s="2" t="str">
        <f>IFERROR(__xludf.DUMMYFUNCTION("GOOGLETRANSLATE(A739,""ko"",""en"")"),"cavity")</f>
        <v>cavity</v>
      </c>
    </row>
    <row r="740">
      <c r="A740" s="1" t="s">
        <v>740</v>
      </c>
      <c r="B740" s="2" t="str">
        <f>IFERROR(__xludf.DUMMYFUNCTION("GOOGLETRANSLATE(A740,""ko"",""en"")"),"reason")</f>
        <v>reason</v>
      </c>
    </row>
    <row r="741">
      <c r="A741" s="1" t="s">
        <v>741</v>
      </c>
      <c r="B741" s="2" t="str">
        <f>IFERROR(__xludf.DUMMYFUNCTION("GOOGLETRANSLATE(A741,""ko"",""en"")"),"room")</f>
        <v>room</v>
      </c>
    </row>
    <row r="742">
      <c r="A742" s="1" t="s">
        <v>742</v>
      </c>
      <c r="B742" s="2" t="str">
        <f>IFERROR(__xludf.DUMMYFUNCTION("GOOGLETRANSLATE(A742,""ko"",""en"")"),"centimeter")</f>
        <v>centimeter</v>
      </c>
    </row>
    <row r="743">
      <c r="A743" s="1" t="s">
        <v>743</v>
      </c>
      <c r="B743" s="2" t="str">
        <f>IFERROR(__xludf.DUMMYFUNCTION("GOOGLETRANSLATE(A743,""ko"",""en"")"),"It's clear")</f>
        <v>It's clear</v>
      </c>
    </row>
    <row r="744">
      <c r="A744" s="1" t="s">
        <v>744</v>
      </c>
      <c r="B744" s="2" t="str">
        <f>IFERROR(__xludf.DUMMYFUNCTION("GOOGLETRANSLATE(A744,""ko"",""en"")"),"analyze")</f>
        <v>analyze</v>
      </c>
    </row>
    <row r="745">
      <c r="A745" s="1" t="s">
        <v>745</v>
      </c>
      <c r="B745" s="2" t="str">
        <f>IFERROR(__xludf.DUMMYFUNCTION("GOOGLETRANSLATE(A745,""ko"",""en"")"),"girl")</f>
        <v>girl</v>
      </c>
    </row>
    <row r="746">
      <c r="A746" s="1" t="s">
        <v>746</v>
      </c>
      <c r="B746" s="2" t="str">
        <f>IFERROR(__xludf.DUMMYFUNCTION("GOOGLETRANSLATE(A746,""ko"",""en"")"),"pass by")</f>
        <v>pass by</v>
      </c>
    </row>
    <row r="747">
      <c r="A747" s="1" t="s">
        <v>747</v>
      </c>
      <c r="B747" s="2" t="str">
        <f>IFERROR(__xludf.DUMMYFUNCTION("GOOGLETRANSLATE(A747,""ko"",""en"")"),"goods")</f>
        <v>goods</v>
      </c>
    </row>
    <row r="748">
      <c r="A748" s="1" t="s">
        <v>748</v>
      </c>
      <c r="B748" s="2" t="str">
        <f>IFERROR(__xludf.DUMMYFUNCTION("GOOGLETRANSLATE(A748,""ko"",""en"")"),"explanation")</f>
        <v>explanation</v>
      </c>
    </row>
    <row r="749">
      <c r="A749" s="1" t="s">
        <v>749</v>
      </c>
      <c r="B749" s="2" t="str">
        <f>IFERROR(__xludf.DUMMYFUNCTION("GOOGLETRANSLATE(A749,""ko"",""en"")"),"Great")</f>
        <v>Great</v>
      </c>
    </row>
    <row r="750">
      <c r="A750" s="1" t="s">
        <v>750</v>
      </c>
      <c r="B750" s="2" t="str">
        <f>IFERROR(__xludf.DUMMYFUNCTION("GOOGLETRANSLATE(A750,""ko"",""en"")"),"Officials")</f>
        <v>Officials</v>
      </c>
    </row>
    <row r="751">
      <c r="A751" s="1" t="s">
        <v>751</v>
      </c>
      <c r="B751" s="2" t="str">
        <f>IFERROR(__xludf.DUMMYFUNCTION("GOOGLETRANSLATE(A751,""ko"",""en"")"),"New")</f>
        <v>New</v>
      </c>
    </row>
    <row r="752">
      <c r="A752" s="1" t="s">
        <v>752</v>
      </c>
      <c r="B752" s="2" t="str">
        <f>IFERROR(__xludf.DUMMYFUNCTION("GOOGLETRANSLATE(A752,""ko"",""en"")"),"Continue")</f>
        <v>Continue</v>
      </c>
    </row>
    <row r="753">
      <c r="A753" s="1" t="s">
        <v>753</v>
      </c>
      <c r="B753" s="2" t="str">
        <f>IFERROR(__xludf.DUMMYFUNCTION("GOOGLETRANSLATE(A753,""ko"",""en"")"),"TV")</f>
        <v>TV</v>
      </c>
    </row>
    <row r="754">
      <c r="A754" s="1" t="s">
        <v>754</v>
      </c>
      <c r="B754" s="2" t="str">
        <f>IFERROR(__xludf.DUMMYFUNCTION("GOOGLETRANSLATE(A754,""ko"",""en"")"),"spring")</f>
        <v>spring</v>
      </c>
    </row>
    <row r="755">
      <c r="A755" s="1" t="s">
        <v>755</v>
      </c>
      <c r="B755" s="2" t="str">
        <f>IFERROR(__xludf.DUMMYFUNCTION("GOOGLETRANSLATE(A755,""ko"",""en"")"),"type")</f>
        <v>type</v>
      </c>
    </row>
    <row r="756">
      <c r="A756" s="1" t="s">
        <v>756</v>
      </c>
      <c r="B756" s="2" t="str">
        <f>IFERROR(__xludf.DUMMYFUNCTION("GOOGLETRANSLATE(A756,""ko"",""en"")"),"be low")</f>
        <v>be low</v>
      </c>
    </row>
    <row r="757">
      <c r="A757" s="1" t="s">
        <v>757</v>
      </c>
      <c r="B757" s="2" t="str">
        <f>IFERROR(__xludf.DUMMYFUNCTION("GOOGLETRANSLATE(A757,""ko"",""en"")"),"shoulder")</f>
        <v>shoulder</v>
      </c>
    </row>
    <row r="758">
      <c r="A758" s="1" t="s">
        <v>758</v>
      </c>
      <c r="B758" s="2" t="str">
        <f>IFERROR(__xludf.DUMMYFUNCTION("GOOGLETRANSLATE(A758,""ko"",""en"")"),"Point out")</f>
        <v>Point out</v>
      </c>
    </row>
    <row r="759">
      <c r="A759" s="1" t="s">
        <v>759</v>
      </c>
      <c r="B759" s="2" t="str">
        <f>IFERROR(__xludf.DUMMYFUNCTION("GOOGLETRANSLATE(A759,""ko"",""en"")"),"married couple")</f>
        <v>married couple</v>
      </c>
    </row>
    <row r="760">
      <c r="A760" s="1" t="s">
        <v>760</v>
      </c>
      <c r="B760" s="2" t="str">
        <f>IFERROR(__xludf.DUMMYFUNCTION("GOOGLETRANSLATE(A760,""ko"",""en"")"),"long time")</f>
        <v>long time</v>
      </c>
    </row>
    <row r="761">
      <c r="A761" s="1" t="s">
        <v>761</v>
      </c>
      <c r="B761" s="2" t="str">
        <f>IFERROR(__xludf.DUMMYFUNCTION("GOOGLETRANSLATE(A761,""ko"",""en"")"),"request")</f>
        <v>request</v>
      </c>
    </row>
    <row r="762">
      <c r="A762" s="1" t="s">
        <v>762</v>
      </c>
      <c r="B762" s="2" t="str">
        <f>IFERROR(__xludf.DUMMYFUNCTION("GOOGLETRANSLATE(A762,""ko"",""en"")"),"grow")</f>
        <v>grow</v>
      </c>
    </row>
    <row r="763">
      <c r="A763" s="1" t="s">
        <v>763</v>
      </c>
      <c r="B763" s="2" t="str">
        <f>IFERROR(__xludf.DUMMYFUNCTION("GOOGLETRANSLATE(A763,""ko"",""en"")"),"lie reclined")</f>
        <v>lie reclined</v>
      </c>
    </row>
    <row r="764">
      <c r="A764" s="1" t="s">
        <v>764</v>
      </c>
      <c r="B764" s="2" t="str">
        <f>IFERROR(__xludf.DUMMYFUNCTION("GOOGLETRANSLATE(A764,""ko"",""en"")"),"develop")</f>
        <v>develop</v>
      </c>
    </row>
    <row r="765">
      <c r="A765" s="1" t="s">
        <v>765</v>
      </c>
      <c r="B765" s="2" t="str">
        <f>IFERROR(__xludf.DUMMYFUNCTION("GOOGLETRANSLATE(A765,""ko"",""en"")"),"develop")</f>
        <v>develop</v>
      </c>
    </row>
    <row r="766">
      <c r="A766" s="1" t="s">
        <v>766</v>
      </c>
      <c r="B766" s="2" t="str">
        <f>IFERROR(__xludf.DUMMYFUNCTION("GOOGLETRANSLATE(A766,""ko"",""en"")"),"travel")</f>
        <v>travel</v>
      </c>
    </row>
    <row r="767">
      <c r="A767" s="1" t="s">
        <v>767</v>
      </c>
      <c r="B767" s="2" t="str">
        <f>IFERROR(__xludf.DUMMYFUNCTION("GOOGLETRANSLATE(A767,""ko"",""en"")"),"death")</f>
        <v>death</v>
      </c>
    </row>
    <row r="768">
      <c r="A768" s="1" t="s">
        <v>768</v>
      </c>
      <c r="B768" s="2" t="str">
        <f>IFERROR(__xludf.DUMMYFUNCTION("GOOGLETRANSLATE(A768,""ko"",""en"")"),"pain")</f>
        <v>pain</v>
      </c>
    </row>
    <row r="769">
      <c r="A769" s="1" t="s">
        <v>769</v>
      </c>
      <c r="B769" s="2" t="str">
        <f>IFERROR(__xludf.DUMMYFUNCTION("GOOGLETRANSLATE(A769,""ko"",""en"")"),"Appear")</f>
        <v>Appear</v>
      </c>
    </row>
    <row r="770">
      <c r="A770" s="1" t="s">
        <v>770</v>
      </c>
      <c r="B770" s="2" t="str">
        <f>IFERROR(__xludf.DUMMYFUNCTION("GOOGLETRANSLATE(A770,""ko"",""en"")"),"ball")</f>
        <v>ball</v>
      </c>
    </row>
    <row r="771">
      <c r="A771" s="1" t="s">
        <v>771</v>
      </c>
      <c r="B771" s="2" t="str">
        <f>IFERROR(__xludf.DUMMYFUNCTION("GOOGLETRANSLATE(A771,""ko"",""en"")"),"As if")</f>
        <v>As if</v>
      </c>
    </row>
    <row r="772">
      <c r="A772" s="1" t="s">
        <v>772</v>
      </c>
      <c r="B772" s="2" t="str">
        <f>IFERROR(__xludf.DUMMYFUNCTION("GOOGLETRANSLATE(A772,""ko"",""en"")"),"comport")</f>
        <v>comport</v>
      </c>
    </row>
    <row r="773">
      <c r="A773" s="1" t="s">
        <v>773</v>
      </c>
      <c r="B773" s="2" t="str">
        <f>IFERROR(__xludf.DUMMYFUNCTION("GOOGLETRANSLATE(A773,""ko"",""en"")"),"May")</f>
        <v>May</v>
      </c>
    </row>
    <row r="774">
      <c r="A774" s="1" t="s">
        <v>774</v>
      </c>
      <c r="B774" s="2" t="str">
        <f>IFERROR(__xludf.DUMMYFUNCTION("GOOGLETRANSLATE(A774,""ko"",""en"")"),"knell")</f>
        <v>knell</v>
      </c>
    </row>
    <row r="775">
      <c r="A775" s="1" t="s">
        <v>775</v>
      </c>
      <c r="B775" s="2" t="str">
        <f>IFERROR(__xludf.DUMMYFUNCTION("GOOGLETRANSLATE(A775,""ko"",""en"")"),"far")</f>
        <v>far</v>
      </c>
    </row>
    <row r="776">
      <c r="A776" s="1" t="s">
        <v>776</v>
      </c>
      <c r="B776" s="2" t="str">
        <f>IFERROR(__xludf.DUMMYFUNCTION("GOOGLETRANSLATE(A776,""ko"",""en"")"),"remove")</f>
        <v>remove</v>
      </c>
    </row>
    <row r="777">
      <c r="A777" s="1" t="s">
        <v>777</v>
      </c>
      <c r="B777" s="2" t="str">
        <f>IFERROR(__xludf.DUMMYFUNCTION("GOOGLETRANSLATE(A777,""ko"",""en"")"),"expected")</f>
        <v>expected</v>
      </c>
    </row>
    <row r="778">
      <c r="A778" s="1" t="s">
        <v>778</v>
      </c>
      <c r="B778" s="2" t="str">
        <f>IFERROR(__xludf.DUMMYFUNCTION("GOOGLETRANSLATE(A778,""ko"",""en"")"),"Oppa")</f>
        <v>Oppa</v>
      </c>
    </row>
    <row r="779">
      <c r="A779" s="1" t="s">
        <v>779</v>
      </c>
      <c r="B779" s="2" t="str">
        <f>IFERROR(__xludf.DUMMYFUNCTION("GOOGLETRANSLATE(A779,""ko"",""en"")"),"be pleasant")</f>
        <v>be pleasant</v>
      </c>
    </row>
    <row r="780">
      <c r="A780" s="1" t="s">
        <v>780</v>
      </c>
      <c r="B780" s="2" t="str">
        <f>IFERROR(__xludf.DUMMYFUNCTION("GOOGLETRANSLATE(A780,""ko"",""en"")"),"margin")</f>
        <v>margin</v>
      </c>
    </row>
    <row r="781">
      <c r="A781" s="1" t="s">
        <v>781</v>
      </c>
      <c r="B781" s="2" t="str">
        <f>IFERROR(__xludf.DUMMYFUNCTION("GOOGLETRANSLATE(A781,""ko"",""en"")"),"profusely")</f>
        <v>profusely</v>
      </c>
    </row>
    <row r="782">
      <c r="A782" s="1" t="s">
        <v>782</v>
      </c>
      <c r="B782" s="2" t="str">
        <f>IFERROR(__xludf.DUMMYFUNCTION("GOOGLETRANSLATE(A782,""ko"",""en"")"),"background")</f>
        <v>background</v>
      </c>
    </row>
    <row r="783">
      <c r="A783" s="1" t="s">
        <v>783</v>
      </c>
      <c r="B783" s="2" t="str">
        <f>IFERROR(__xludf.DUMMYFUNCTION("GOOGLETRANSLATE(A783,""ko"",""en"")"),"April")</f>
        <v>April</v>
      </c>
    </row>
    <row r="784">
      <c r="A784" s="1" t="s">
        <v>784</v>
      </c>
      <c r="B784" s="2" t="str">
        <f>IFERROR(__xludf.DUMMYFUNCTION("GOOGLETRANSLATE(A784,""ko"",""en"")"),"fight")</f>
        <v>fight</v>
      </c>
    </row>
    <row r="785">
      <c r="A785" s="1" t="s">
        <v>785</v>
      </c>
      <c r="B785" s="2" t="str">
        <f>IFERROR(__xludf.DUMMYFUNCTION("GOOGLETRANSLATE(A785,""ko"",""en"")"),"when")</f>
        <v>when</v>
      </c>
    </row>
    <row r="786">
      <c r="A786" s="1" t="s">
        <v>786</v>
      </c>
      <c r="B786" s="2" t="str">
        <f>IFERROR(__xludf.DUMMYFUNCTION("GOOGLETRANSLATE(A786,""ko"",""en"")"),"pretty")</f>
        <v>pretty</v>
      </c>
    </row>
    <row r="787">
      <c r="A787" s="1" t="s">
        <v>787</v>
      </c>
      <c r="B787" s="2" t="str">
        <f>IFERROR(__xludf.DUMMYFUNCTION("GOOGLETRANSLATE(A787,""ko"",""en"")"),"conflict")</f>
        <v>conflict</v>
      </c>
    </row>
    <row r="788">
      <c r="A788" s="1" t="s">
        <v>788</v>
      </c>
      <c r="B788" s="2" t="str">
        <f>IFERROR(__xludf.DUMMYFUNCTION("GOOGLETRANSLATE(A788,""ko"",""en"")"),"feel")</f>
        <v>feel</v>
      </c>
    </row>
    <row r="789">
      <c r="A789" s="1" t="s">
        <v>789</v>
      </c>
      <c r="B789" s="2" t="str">
        <f>IFERROR(__xludf.DUMMYFUNCTION("GOOGLETRANSLATE(A789,""ko"",""en"")"),"will")</f>
        <v>will</v>
      </c>
    </row>
    <row r="790">
      <c r="A790" s="1" t="s">
        <v>790</v>
      </c>
      <c r="B790" s="2" t="str">
        <f>IFERROR(__xludf.DUMMYFUNCTION("GOOGLETRANSLATE(A790,""ko"",""en"")"),"specialty")</f>
        <v>specialty</v>
      </c>
    </row>
    <row r="791">
      <c r="A791" s="1" t="s">
        <v>791</v>
      </c>
      <c r="B791" s="2" t="str">
        <f>IFERROR(__xludf.DUMMYFUNCTION("GOOGLETRANSLATE(A791,""ko"",""en"")"),"It's accurate")</f>
        <v>It's accurate</v>
      </c>
    </row>
    <row r="792">
      <c r="A792" s="1" t="s">
        <v>792</v>
      </c>
      <c r="B792" s="2" t="str">
        <f>IFERROR(__xludf.DUMMYFUNCTION("GOOGLETRANSLATE(A792,""ko"",""en"")"),"beginning")</f>
        <v>beginning</v>
      </c>
    </row>
    <row r="793">
      <c r="A793" s="1" t="s">
        <v>793</v>
      </c>
      <c r="B793" s="2" t="str">
        <f>IFERROR(__xludf.DUMMYFUNCTION("GOOGLETRANSLATE(A793,""ko"",""en"")"),"later")</f>
        <v>later</v>
      </c>
    </row>
    <row r="794">
      <c r="A794" s="1" t="s">
        <v>794</v>
      </c>
      <c r="B794" s="2" t="str">
        <f>IFERROR(__xludf.DUMMYFUNCTION("GOOGLETRANSLATE(A794,""ko"",""en"")"),"it's good")</f>
        <v>it's good</v>
      </c>
    </row>
    <row r="795">
      <c r="A795" s="1" t="s">
        <v>795</v>
      </c>
      <c r="B795" s="2" t="str">
        <f>IFERROR(__xludf.DUMMYFUNCTION("GOOGLETRANSLATE(A795,""ko"",""en"")"),"A few days")</f>
        <v>A few days</v>
      </c>
    </row>
    <row r="796">
      <c r="A796" s="1" t="s">
        <v>796</v>
      </c>
      <c r="B796" s="2" t="str">
        <f>IFERROR(__xludf.DUMMYFUNCTION("GOOGLETRANSLATE(A796,""ko"",""en"")"),"nerves")</f>
        <v>nerves</v>
      </c>
    </row>
    <row r="797">
      <c r="A797" s="1" t="s">
        <v>797</v>
      </c>
      <c r="B797" s="2" t="str">
        <f>IFERROR(__xludf.DUMMYFUNCTION("GOOGLETRANSLATE(A797,""ko"",""en"")"),"Come find")</f>
        <v>Come find</v>
      </c>
    </row>
    <row r="798">
      <c r="A798" s="1" t="s">
        <v>798</v>
      </c>
      <c r="B798" s="2" t="str">
        <f>IFERROR(__xludf.DUMMYFUNCTION("GOOGLETRANSLATE(A798,""ko"",""en"")"),"mi")</f>
        <v>mi</v>
      </c>
    </row>
    <row r="799">
      <c r="A799" s="1" t="s">
        <v>799</v>
      </c>
      <c r="B799" s="2" t="str">
        <f>IFERROR(__xludf.DUMMYFUNCTION("GOOGLETRANSLATE(A799,""ko"",""en"")"),"use")</f>
        <v>use</v>
      </c>
    </row>
    <row r="800">
      <c r="A800" s="1" t="s">
        <v>800</v>
      </c>
      <c r="B800" s="2" t="str">
        <f>IFERROR(__xludf.DUMMYFUNCTION("GOOGLETRANSLATE(A800,""ko"",""en"")"),"gaze")</f>
        <v>gaze</v>
      </c>
    </row>
    <row r="801">
      <c r="A801" s="1" t="s">
        <v>801</v>
      </c>
      <c r="B801" s="2" t="str">
        <f>IFERROR(__xludf.DUMMYFUNCTION("GOOGLETRANSLATE(A801,""ko"",""en"")"),"Nothing")</f>
        <v>Nothing</v>
      </c>
    </row>
    <row r="802">
      <c r="A802" s="1" t="s">
        <v>802</v>
      </c>
      <c r="B802" s="2" t="str">
        <f>IFERROR(__xludf.DUMMYFUNCTION("GOOGLETRANSLATE(A802,""ko"",""en"")"),"media")</f>
        <v>media</v>
      </c>
    </row>
    <row r="803">
      <c r="A803" s="1" t="s">
        <v>803</v>
      </c>
      <c r="B803" s="2" t="str">
        <f>IFERROR(__xludf.DUMMYFUNCTION("GOOGLETRANSLATE(A803,""ko"",""en"")"),"invest")</f>
        <v>invest</v>
      </c>
    </row>
    <row r="804">
      <c r="A804" s="1" t="s">
        <v>804</v>
      </c>
      <c r="B804" s="2" t="str">
        <f>IFERROR(__xludf.DUMMYFUNCTION("GOOGLETRANSLATE(A804,""ko"",""en"")"),"backup")</f>
        <v>backup</v>
      </c>
    </row>
    <row r="805">
      <c r="A805" s="1" t="s">
        <v>805</v>
      </c>
      <c r="B805" s="2" t="str">
        <f>IFERROR(__xludf.DUMMYFUNCTION("GOOGLETRANSLATE(A805,""ko"",""en"")"),"decide")</f>
        <v>decide</v>
      </c>
    </row>
    <row r="806">
      <c r="A806" s="1" t="s">
        <v>806</v>
      </c>
      <c r="B806" s="2" t="str">
        <f>IFERROR(__xludf.DUMMYFUNCTION("GOOGLETRANSLATE(A806,""ko"",""en"")"),"management")</f>
        <v>management</v>
      </c>
    </row>
    <row r="807">
      <c r="A807" s="1" t="s">
        <v>807</v>
      </c>
      <c r="B807" s="2" t="str">
        <f>IFERROR(__xludf.DUMMYFUNCTION("GOOGLETRANSLATE(A807,""ko"",""en"")"),"target")</f>
        <v>target</v>
      </c>
    </row>
    <row r="808">
      <c r="A808" s="1" t="s">
        <v>808</v>
      </c>
      <c r="B808" s="2" t="str">
        <f>IFERROR(__xludf.DUMMYFUNCTION("GOOGLETRANSLATE(A808,""ko"",""en"")"),"growth")</f>
        <v>growth</v>
      </c>
    </row>
    <row r="809">
      <c r="A809" s="1" t="s">
        <v>809</v>
      </c>
      <c r="B809" s="2" t="str">
        <f>IFERROR(__xludf.DUMMYFUNCTION("GOOGLETRANSLATE(A809,""ko"",""en"")"),"forest")</f>
        <v>forest</v>
      </c>
    </row>
    <row r="810">
      <c r="A810" s="1" t="s">
        <v>810</v>
      </c>
      <c r="B810" s="2" t="str">
        <f>IFERROR(__xludf.DUMMYFUNCTION("GOOGLETRANSLATE(A810,""ko"",""en"")"),"disappear")</f>
        <v>disappear</v>
      </c>
    </row>
    <row r="811">
      <c r="A811" s="1" t="s">
        <v>811</v>
      </c>
      <c r="B811" s="2" t="str">
        <f>IFERROR(__xludf.DUMMYFUNCTION("GOOGLETRANSLATE(A811,""ko"",""en"")"),"last year")</f>
        <v>last year</v>
      </c>
    </row>
    <row r="812">
      <c r="A812" s="1" t="s">
        <v>812</v>
      </c>
      <c r="B812" s="2" t="str">
        <f>IFERROR(__xludf.DUMMYFUNCTION("GOOGLETRANSLATE(A812,""ko"",""en"")"),"Go down")</f>
        <v>Go down</v>
      </c>
    </row>
    <row r="813">
      <c r="A813" s="1" t="s">
        <v>813</v>
      </c>
      <c r="B813" s="2" t="str">
        <f>IFERROR(__xludf.DUMMYFUNCTION("GOOGLETRANSLATE(A813,""ko"",""en"")"),"fly")</f>
        <v>fly</v>
      </c>
    </row>
    <row r="814">
      <c r="A814" s="1" t="s">
        <v>814</v>
      </c>
      <c r="B814" s="2" t="str">
        <f>IFERROR(__xludf.DUMMYFUNCTION("GOOGLETRANSLATE(A814,""ko"",""en"")"),"dawn")</f>
        <v>dawn</v>
      </c>
    </row>
    <row r="815">
      <c r="A815" s="1" t="s">
        <v>815</v>
      </c>
      <c r="B815" s="2" t="str">
        <f>IFERROR(__xludf.DUMMYFUNCTION("GOOGLETRANSLATE(A815,""ko"",""en"")"),"trash")</f>
        <v>trash</v>
      </c>
    </row>
    <row r="816">
      <c r="A816" s="1" t="s">
        <v>816</v>
      </c>
      <c r="B816" s="2" t="str">
        <f>IFERROR(__xludf.DUMMYFUNCTION("GOOGLETRANSLATE(A816,""ko"",""en"")"),"Hurry up")</f>
        <v>Hurry up</v>
      </c>
    </row>
    <row r="817">
      <c r="A817" s="1" t="s">
        <v>817</v>
      </c>
      <c r="B817" s="2" t="str">
        <f>IFERROR(__xludf.DUMMYFUNCTION("GOOGLETRANSLATE(A817,""ko"",""en"")"),"damage")</f>
        <v>damage</v>
      </c>
    </row>
    <row r="818">
      <c r="A818" s="1" t="s">
        <v>818</v>
      </c>
      <c r="B818" s="2" t="str">
        <f>IFERROR(__xludf.DUMMYFUNCTION("GOOGLETRANSLATE(A818,""ko"",""en"")"),"scary")</f>
        <v>scary</v>
      </c>
    </row>
    <row r="819">
      <c r="A819" s="1" t="s">
        <v>819</v>
      </c>
      <c r="B819" s="2" t="str">
        <f>IFERROR(__xludf.DUMMYFUNCTION("GOOGLETRANSLATE(A819,""ko"",""en"")"),"rectal")</f>
        <v>rectal</v>
      </c>
    </row>
    <row r="820">
      <c r="A820" s="1" t="s">
        <v>820</v>
      </c>
      <c r="B820" s="2" t="str">
        <f>IFERROR(__xludf.DUMMYFUNCTION("GOOGLETRANSLATE(A820,""ko"",""en"")"),"suppress")</f>
        <v>suppress</v>
      </c>
    </row>
    <row r="821">
      <c r="A821" s="1" t="s">
        <v>821</v>
      </c>
      <c r="B821" s="2" t="str">
        <f>IFERROR(__xludf.DUMMYFUNCTION("GOOGLETRANSLATE(A821,""ko"",""en"")"),"size")</f>
        <v>size</v>
      </c>
    </row>
    <row r="822">
      <c r="A822" s="1" t="s">
        <v>822</v>
      </c>
      <c r="B822" s="2" t="str">
        <f>IFERROR(__xludf.DUMMYFUNCTION("GOOGLETRANSLATE(A822,""ko"",""en"")"),"meat")</f>
        <v>meat</v>
      </c>
    </row>
    <row r="823">
      <c r="A823" s="1" t="s">
        <v>823</v>
      </c>
      <c r="B823" s="2" t="str">
        <f>IFERROR(__xludf.DUMMYFUNCTION("GOOGLETRANSLATE(A823,""ko"",""en"")"),"leave")</f>
        <v>leave</v>
      </c>
    </row>
    <row r="824">
      <c r="A824" s="1" t="s">
        <v>824</v>
      </c>
      <c r="B824" s="2" t="str">
        <f>IFERROR(__xludf.DUMMYFUNCTION("GOOGLETRANSLATE(A824,""ko"",""en"")"),"Occident")</f>
        <v>Occident</v>
      </c>
    </row>
    <row r="825">
      <c r="A825" s="1" t="s">
        <v>825</v>
      </c>
      <c r="B825" s="2" t="str">
        <f>IFERROR(__xludf.DUMMYFUNCTION("GOOGLETRANSLATE(A825,""ko"",""en"")"),"Main")</f>
        <v>Main</v>
      </c>
    </row>
    <row r="826">
      <c r="A826" s="1" t="s">
        <v>826</v>
      </c>
      <c r="B826" s="2" t="str">
        <f>IFERROR(__xludf.DUMMYFUNCTION("GOOGLETRANSLATE(A826,""ko"",""en"")"),"Bring")</f>
        <v>Bring</v>
      </c>
    </row>
    <row r="827">
      <c r="A827" s="1" t="s">
        <v>827</v>
      </c>
      <c r="B827" s="2" t="str">
        <f>IFERROR(__xludf.DUMMYFUNCTION("GOOGLETRANSLATE(A827,""ko"",""en"")"),"smell")</f>
        <v>smell</v>
      </c>
    </row>
    <row r="828">
      <c r="A828" s="1" t="s">
        <v>828</v>
      </c>
      <c r="B828" s="2" t="str">
        <f>IFERROR(__xludf.DUMMYFUNCTION("GOOGLETRANSLATE(A828,""ko"",""en"")"),"soft")</f>
        <v>soft</v>
      </c>
    </row>
    <row r="829">
      <c r="A829" s="1" t="s">
        <v>829</v>
      </c>
      <c r="B829" s="2" t="str">
        <f>IFERROR(__xludf.DUMMYFUNCTION("GOOGLETRANSLATE(A829,""ko"",""en"")"),"think")</f>
        <v>think</v>
      </c>
    </row>
    <row r="830">
      <c r="A830" s="1" t="s">
        <v>830</v>
      </c>
      <c r="B830" s="2" t="str">
        <f>IFERROR(__xludf.DUMMYFUNCTION("GOOGLETRANSLATE(A830,""ko"",""en"")"),"performance")</f>
        <v>performance</v>
      </c>
    </row>
    <row r="831">
      <c r="A831" s="1" t="s">
        <v>831</v>
      </c>
      <c r="B831" s="2" t="str">
        <f>IFERROR(__xludf.DUMMYFUNCTION("GOOGLETRANSLATE(A831,""ko"",""en"")"),"Man and woman")</f>
        <v>Man and woman</v>
      </c>
    </row>
    <row r="832">
      <c r="A832" s="1" t="s">
        <v>832</v>
      </c>
      <c r="B832" s="2" t="str">
        <f>IFERROR(__xludf.DUMMYFUNCTION("GOOGLETRANSLATE(A832,""ko"",""en"")"),"put out")</f>
        <v>put out</v>
      </c>
    </row>
    <row r="833">
      <c r="A833" s="1" t="s">
        <v>833</v>
      </c>
      <c r="B833" s="2" t="str">
        <f>IFERROR(__xludf.DUMMYFUNCTION("GOOGLETRANSLATE(A833,""ko"",""en"")"),"cut")</f>
        <v>cut</v>
      </c>
    </row>
    <row r="834">
      <c r="A834" s="1" t="s">
        <v>834</v>
      </c>
      <c r="B834" s="2" t="str">
        <f>IFERROR(__xludf.DUMMYFUNCTION("GOOGLETRANSLATE(A834,""ko"",""en"")"),"be made")</f>
        <v>be made</v>
      </c>
    </row>
    <row r="835">
      <c r="A835" s="1" t="s">
        <v>835</v>
      </c>
      <c r="B835" s="2" t="str">
        <f>IFERROR(__xludf.DUMMYFUNCTION("GOOGLETRANSLATE(A835,""ko"",""en"")"),"speed")</f>
        <v>speed</v>
      </c>
    </row>
    <row r="836">
      <c r="A836" s="1" t="s">
        <v>836</v>
      </c>
      <c r="B836" s="2" t="str">
        <f>IFERROR(__xludf.DUMMYFUNCTION("GOOGLETRANSLATE(A836,""ko"",""en"")"),"It's serious")</f>
        <v>It's serious</v>
      </c>
    </row>
    <row r="837">
      <c r="A837" s="1" t="s">
        <v>837</v>
      </c>
      <c r="B837" s="2" t="str">
        <f>IFERROR(__xludf.DUMMYFUNCTION("GOOGLETRANSLATE(A837,""ko"",""en"")"),"preparation")</f>
        <v>preparation</v>
      </c>
    </row>
    <row r="838">
      <c r="A838" s="1" t="s">
        <v>838</v>
      </c>
      <c r="B838" s="2" t="str">
        <f>IFERROR(__xludf.DUMMYFUNCTION("GOOGLETRANSLATE(A838,""ko"",""en"")"),"Continue")</f>
        <v>Continue</v>
      </c>
    </row>
    <row r="839">
      <c r="A839" s="1" t="s">
        <v>839</v>
      </c>
      <c r="B839" s="2" t="str">
        <f>IFERROR(__xludf.DUMMYFUNCTION("GOOGLETRANSLATE(A839,""ko"",""en"")"),"September")</f>
        <v>September</v>
      </c>
    </row>
    <row r="840">
      <c r="A840" s="1" t="s">
        <v>840</v>
      </c>
      <c r="B840" s="2" t="str">
        <f>IFERROR(__xludf.DUMMYFUNCTION("GOOGLETRANSLATE(A840,""ko"",""en"")"),"Clear")</f>
        <v>Clear</v>
      </c>
    </row>
    <row r="841">
      <c r="A841" s="1" t="s">
        <v>841</v>
      </c>
      <c r="B841" s="2" t="str">
        <f>IFERROR(__xludf.DUMMYFUNCTION("GOOGLETRANSLATE(A841,""ko"",""en"")"),"boy")</f>
        <v>boy</v>
      </c>
    </row>
    <row r="842">
      <c r="A842" s="1" t="s">
        <v>842</v>
      </c>
      <c r="B842" s="2" t="str">
        <f>IFERROR(__xludf.DUMMYFUNCTION("GOOGLETRANSLATE(A842,""ko"",""en"")"),"tidings")</f>
        <v>tidings</v>
      </c>
    </row>
    <row r="843">
      <c r="A843" s="1" t="s">
        <v>843</v>
      </c>
      <c r="B843" s="2" t="str">
        <f>IFERROR(__xludf.DUMMYFUNCTION("GOOGLETRANSLATE(A843,""ko"",""en"")"),"June")</f>
        <v>June</v>
      </c>
    </row>
    <row r="844">
      <c r="A844" s="1" t="s">
        <v>844</v>
      </c>
      <c r="B844" s="2" t="str">
        <f>IFERROR(__xludf.DUMMYFUNCTION("GOOGLETRANSLATE(A844,""ko"",""en"")"),"action")</f>
        <v>action</v>
      </c>
    </row>
    <row r="845">
      <c r="A845" s="1" t="s">
        <v>845</v>
      </c>
      <c r="B845" s="2" t="str">
        <f>IFERROR(__xludf.DUMMYFUNCTION("GOOGLETRANSLATE(A845,""ko"",""en"")"),"waist")</f>
        <v>waist</v>
      </c>
    </row>
    <row r="846">
      <c r="A846" s="1" t="s">
        <v>846</v>
      </c>
      <c r="B846" s="2" t="str">
        <f>IFERROR(__xludf.DUMMYFUNCTION("GOOGLETRANSLATE(A846,""ko"",""en"")"),"goal")</f>
        <v>goal</v>
      </c>
    </row>
    <row r="847">
      <c r="A847" s="1" t="s">
        <v>847</v>
      </c>
      <c r="B847" s="2" t="str">
        <f>IFERROR(__xludf.DUMMYFUNCTION("GOOGLETRANSLATE(A847,""ko"",""en"")"),"Industry")</f>
        <v>Industry</v>
      </c>
    </row>
    <row r="848">
      <c r="A848" s="1" t="s">
        <v>848</v>
      </c>
      <c r="B848" s="2" t="str">
        <f>IFERROR(__xludf.DUMMYFUNCTION("GOOGLETRANSLATE(A848,""ko"",""en"")"),"Among them")</f>
        <v>Among them</v>
      </c>
    </row>
    <row r="849">
      <c r="A849" s="1" t="s">
        <v>849</v>
      </c>
      <c r="B849" s="2" t="str">
        <f>IFERROR(__xludf.DUMMYFUNCTION("GOOGLETRANSLATE(A849,""ko"",""en"")"),"old man")</f>
        <v>old man</v>
      </c>
    </row>
    <row r="850">
      <c r="A850" s="1" t="s">
        <v>850</v>
      </c>
      <c r="B850" s="2" t="str">
        <f>IFERROR(__xludf.DUMMYFUNCTION("GOOGLETRANSLATE(A850,""ko"",""en"")"),"earn")</f>
        <v>earn</v>
      </c>
    </row>
    <row r="851">
      <c r="A851" s="1" t="s">
        <v>851</v>
      </c>
      <c r="B851" s="2" t="str">
        <f>IFERROR(__xludf.DUMMYFUNCTION("GOOGLETRANSLATE(A851,""ko"",""en"")"),"let out")</f>
        <v>let out</v>
      </c>
    </row>
    <row r="852">
      <c r="A852" s="1" t="s">
        <v>852</v>
      </c>
      <c r="B852" s="2" t="str">
        <f>IFERROR(__xludf.DUMMYFUNCTION("GOOGLETRANSLATE(A852,""ko"",""en"")"),"english")</f>
        <v>english</v>
      </c>
    </row>
    <row r="853">
      <c r="A853" s="1" t="s">
        <v>853</v>
      </c>
      <c r="B853" s="2" t="str">
        <f>IFERROR(__xludf.DUMMYFUNCTION("GOOGLETRANSLATE(A853,""ko"",""en"")"),"native")</f>
        <v>native</v>
      </c>
    </row>
    <row r="854">
      <c r="A854" s="1" t="s">
        <v>854</v>
      </c>
      <c r="B854" s="2" t="str">
        <f>IFERROR(__xludf.DUMMYFUNCTION("GOOGLETRANSLATE(A854,""ko"",""en"")"),"decision")</f>
        <v>decision</v>
      </c>
    </row>
    <row r="855">
      <c r="A855" s="1" t="s">
        <v>855</v>
      </c>
      <c r="B855" s="2" t="str">
        <f>IFERROR(__xludf.DUMMYFUNCTION("GOOGLETRANSLATE(A855,""ko"",""en"")"),"tendency")</f>
        <v>tendency</v>
      </c>
    </row>
    <row r="856">
      <c r="A856" s="1" t="s">
        <v>856</v>
      </c>
      <c r="B856" s="2" t="str">
        <f>IFERROR(__xludf.DUMMYFUNCTION("GOOGLETRANSLATE(A856,""ko"",""en"")"),"record")</f>
        <v>record</v>
      </c>
    </row>
    <row r="857">
      <c r="A857" s="1" t="s">
        <v>857</v>
      </c>
      <c r="B857" s="2" t="str">
        <f>IFERROR(__xludf.DUMMYFUNCTION("GOOGLETRANSLATE(A857,""ko"",""en"")"),"depending on")</f>
        <v>depending on</v>
      </c>
    </row>
    <row r="858">
      <c r="A858" s="1" t="s">
        <v>858</v>
      </c>
      <c r="B858" s="2" t="str">
        <f>IFERROR(__xludf.DUMMYFUNCTION("GOOGLETRANSLATE(A858,""ko"",""en"")"),"Answer")</f>
        <v>Answer</v>
      </c>
    </row>
    <row r="859">
      <c r="A859" s="1" t="s">
        <v>859</v>
      </c>
      <c r="B859" s="2" t="str">
        <f>IFERROR(__xludf.DUMMYFUNCTION("GOOGLETRANSLATE(A859,""ko"",""en"")"),"the other side")</f>
        <v>the other side</v>
      </c>
    </row>
    <row r="860">
      <c r="A860" s="1" t="s">
        <v>860</v>
      </c>
      <c r="B860" s="2" t="str">
        <f>IFERROR(__xludf.DUMMYFUNCTION("GOOGLETRANSLATE(A860,""ko"",""en"")"),"chaff")</f>
        <v>chaff</v>
      </c>
    </row>
    <row r="861">
      <c r="A861" s="1" t="s">
        <v>861</v>
      </c>
      <c r="B861" s="2" t="str">
        <f>IFERROR(__xludf.DUMMYFUNCTION("GOOGLETRANSLATE(A861,""ko"",""en"")"),"movement")</f>
        <v>movement</v>
      </c>
    </row>
    <row r="862">
      <c r="A862" s="1" t="s">
        <v>862</v>
      </c>
      <c r="B862" s="2" t="str">
        <f>IFERROR(__xludf.DUMMYFUNCTION("GOOGLETRANSLATE(A862,""ko"",""en"")"),"image")</f>
        <v>image</v>
      </c>
    </row>
    <row r="863">
      <c r="A863" s="1" t="s">
        <v>863</v>
      </c>
      <c r="B863" s="2" t="str">
        <f>IFERROR(__xludf.DUMMYFUNCTION("GOOGLETRANSLATE(A863,""ko"",""en"")"),"break")</f>
        <v>break</v>
      </c>
    </row>
    <row r="864">
      <c r="A864" s="1" t="s">
        <v>864</v>
      </c>
      <c r="B864" s="2" t="str">
        <f>IFERROR(__xludf.DUMMYFUNCTION("GOOGLETRANSLATE(A864,""ko"",""en"")"),"characteristic")</f>
        <v>characteristic</v>
      </c>
    </row>
    <row r="865">
      <c r="A865" s="1" t="s">
        <v>865</v>
      </c>
      <c r="B865" s="2" t="str">
        <f>IFERROR(__xludf.DUMMYFUNCTION("GOOGLETRANSLATE(A865,""ko"",""en"")"),"headmaster")</f>
        <v>headmaster</v>
      </c>
    </row>
    <row r="866">
      <c r="A866" s="1" t="s">
        <v>866</v>
      </c>
      <c r="B866" s="2" t="str">
        <f>IFERROR(__xludf.DUMMYFUNCTION("GOOGLETRANSLATE(A866,""ko"",""en"")"),"lay off")</f>
        <v>lay off</v>
      </c>
    </row>
    <row r="867">
      <c r="A867" s="1" t="s">
        <v>867</v>
      </c>
      <c r="B867" s="2" t="str">
        <f>IFERROR(__xludf.DUMMYFUNCTION("GOOGLETRANSLATE(A867,""ko"",""en"")"),"work")</f>
        <v>work</v>
      </c>
    </row>
    <row r="868">
      <c r="A868" s="1" t="s">
        <v>868</v>
      </c>
      <c r="B868" s="2" t="str">
        <f>IFERROR(__xludf.DUMMYFUNCTION("GOOGLETRANSLATE(A868,""ko"",""en"")"),"entrance exam")</f>
        <v>entrance exam</v>
      </c>
    </row>
    <row r="869">
      <c r="A869" s="1" t="s">
        <v>869</v>
      </c>
      <c r="B869" s="2" t="str">
        <f>IFERROR(__xludf.DUMMYFUNCTION("GOOGLETRANSLATE(A869,""ko"",""en"")"),"prepare")</f>
        <v>prepare</v>
      </c>
    </row>
    <row r="870">
      <c r="A870" s="1" t="s">
        <v>870</v>
      </c>
      <c r="B870" s="2" t="str">
        <f>IFERROR(__xludf.DUMMYFUNCTION("GOOGLETRANSLATE(A870,""ko"",""en"")"),"youth")</f>
        <v>youth</v>
      </c>
    </row>
    <row r="871">
      <c r="A871" s="1" t="s">
        <v>871</v>
      </c>
      <c r="B871" s="2" t="str">
        <f>IFERROR(__xludf.DUMMYFUNCTION("GOOGLETRANSLATE(A871,""ko"",""en"")"),"help")</f>
        <v>help</v>
      </c>
    </row>
    <row r="872">
      <c r="A872" s="1" t="s">
        <v>872</v>
      </c>
      <c r="B872" s="2" t="str">
        <f>IFERROR(__xludf.DUMMYFUNCTION("GOOGLETRANSLATE(A872,""ko"",""en"")"),"huh")</f>
        <v>huh</v>
      </c>
    </row>
    <row r="873">
      <c r="A873" s="1" t="s">
        <v>873</v>
      </c>
      <c r="B873" s="2" t="str">
        <f>IFERROR(__xludf.DUMMYFUNCTION("GOOGLETRANSLATE(A873,""ko"",""en"")"),"win")</f>
        <v>win</v>
      </c>
    </row>
    <row r="874">
      <c r="A874" s="1" t="s">
        <v>874</v>
      </c>
      <c r="B874" s="2" t="str">
        <f>IFERROR(__xludf.DUMMYFUNCTION("GOOGLETRANSLATE(A874,""ko"",""en"")"),"Look for it")</f>
        <v>Look for it</v>
      </c>
    </row>
    <row r="875">
      <c r="A875" s="1" t="s">
        <v>875</v>
      </c>
      <c r="B875" s="2" t="str">
        <f>IFERROR(__xludf.DUMMYFUNCTION("GOOGLETRANSLATE(A875,""ko"",""en"")"),"deal with")</f>
        <v>deal with</v>
      </c>
    </row>
    <row r="876">
      <c r="A876" s="1" t="s">
        <v>876</v>
      </c>
      <c r="B876" s="2" t="str">
        <f>IFERROR(__xludf.DUMMYFUNCTION("GOOGLETRANSLATE(A876,""ko"",""en"")"),"moon")</f>
        <v>moon</v>
      </c>
    </row>
    <row r="877">
      <c r="A877" s="1" t="s">
        <v>877</v>
      </c>
      <c r="B877" s="2" t="str">
        <f>IFERROR(__xludf.DUMMYFUNCTION("GOOGLETRANSLATE(A877,""ko"",""en"")"),"President")</f>
        <v>President</v>
      </c>
    </row>
    <row r="878">
      <c r="A878" s="1" t="s">
        <v>878</v>
      </c>
      <c r="B878" s="2" t="str">
        <f>IFERROR(__xludf.DUMMYFUNCTION("GOOGLETRANSLATE(A878,""ko"",""en"")"),"March")</f>
        <v>March</v>
      </c>
    </row>
    <row r="879">
      <c r="A879" s="1" t="s">
        <v>879</v>
      </c>
      <c r="B879" s="2" t="str">
        <f>IFERROR(__xludf.DUMMYFUNCTION("GOOGLETRANSLATE(A879,""ko"",""en"")"),"but")</f>
        <v>but</v>
      </c>
    </row>
    <row r="880">
      <c r="A880" s="1" t="s">
        <v>880</v>
      </c>
      <c r="B880" s="2" t="str">
        <f>IFERROR(__xludf.DUMMYFUNCTION("GOOGLETRANSLATE(A880,""ko"",""en"")"),"senior")</f>
        <v>senior</v>
      </c>
    </row>
    <row r="881">
      <c r="A881" s="1" t="s">
        <v>881</v>
      </c>
      <c r="B881" s="2" t="str">
        <f>IFERROR(__xludf.DUMMYFUNCTION("GOOGLETRANSLATE(A881,""ko"",""en"")"),"company")</f>
        <v>company</v>
      </c>
    </row>
    <row r="882">
      <c r="A882" s="1" t="s">
        <v>882</v>
      </c>
      <c r="B882" s="2" t="str">
        <f>IFERROR(__xludf.DUMMYFUNCTION("GOOGLETRANSLATE(A882,""ko"",""en"")"),"key")</f>
        <v>key</v>
      </c>
    </row>
    <row r="883">
      <c r="A883" s="1" t="s">
        <v>883</v>
      </c>
      <c r="B883" s="2" t="str">
        <f>IFERROR(__xludf.DUMMYFUNCTION("GOOGLETRANSLATE(A883,""ko"",""en"")"),"Congress")</f>
        <v>Congress</v>
      </c>
    </row>
    <row r="884">
      <c r="A884" s="1" t="s">
        <v>884</v>
      </c>
      <c r="B884" s="2" t="str">
        <f>IFERROR(__xludf.DUMMYFUNCTION("GOOGLETRANSLATE(A884,""ko"",""en"")"),"therefore")</f>
        <v>therefore</v>
      </c>
    </row>
    <row r="885">
      <c r="A885" s="1" t="s">
        <v>885</v>
      </c>
      <c r="B885" s="2" t="str">
        <f>IFERROR(__xludf.DUMMYFUNCTION("GOOGLETRANSLATE(A885,""ko"",""en"")"),"include")</f>
        <v>include</v>
      </c>
    </row>
    <row r="886">
      <c r="A886" s="1" t="s">
        <v>886</v>
      </c>
      <c r="B886" s="2" t="str">
        <f>IFERROR(__xludf.DUMMYFUNCTION("GOOGLETRANSLATE(A886,""ko"",""en"")"),"worry")</f>
        <v>worry</v>
      </c>
    </row>
    <row r="887">
      <c r="A887" s="1" t="s">
        <v>887</v>
      </c>
      <c r="B887" s="2" t="str">
        <f>IFERROR(__xludf.DUMMYFUNCTION("GOOGLETRANSLATE(A887,""ko"",""en"")"),"Get married")</f>
        <v>Get married</v>
      </c>
    </row>
    <row r="888">
      <c r="A888" s="1" t="s">
        <v>888</v>
      </c>
      <c r="B888" s="2" t="str">
        <f>IFERROR(__xludf.DUMMYFUNCTION("GOOGLETRANSLATE(A888,""ko"",""en"")"),"if")</f>
        <v>if</v>
      </c>
    </row>
    <row r="889">
      <c r="A889" s="1" t="s">
        <v>889</v>
      </c>
      <c r="B889" s="2" t="str">
        <f>IFERROR(__xludf.DUMMYFUNCTION("GOOGLETRANSLATE(A889,""ko"",""en"")"),"Time")</f>
        <v>Time</v>
      </c>
    </row>
    <row r="890">
      <c r="A890" s="1" t="s">
        <v>890</v>
      </c>
      <c r="B890" s="2" t="str">
        <f>IFERROR(__xludf.DUMMYFUNCTION("GOOGLETRANSLATE(A890,""ko"",""en"")"),"breath")</f>
        <v>breath</v>
      </c>
    </row>
    <row r="891">
      <c r="A891" s="1" t="s">
        <v>891</v>
      </c>
      <c r="B891" s="2" t="str">
        <f>IFERROR(__xludf.DUMMYFUNCTION("GOOGLETRANSLATE(A891,""ko"",""en"")"),"awake to")</f>
        <v>awake to</v>
      </c>
    </row>
    <row r="892">
      <c r="A892" s="1" t="s">
        <v>892</v>
      </c>
      <c r="B892" s="2" t="str">
        <f>IFERROR(__xludf.DUMMYFUNCTION("GOOGLETRANSLATE(A892,""ko"",""en"")"),"Sister")</f>
        <v>Sister</v>
      </c>
    </row>
    <row r="893">
      <c r="A893" s="1" t="s">
        <v>893</v>
      </c>
      <c r="B893" s="2" t="str">
        <f>IFERROR(__xludf.DUMMYFUNCTION("GOOGLETRANSLATE(A893,""ko"",""en"")"),"king")</f>
        <v>king</v>
      </c>
    </row>
    <row r="894">
      <c r="A894" s="1" t="s">
        <v>894</v>
      </c>
      <c r="B894" s="2" t="str">
        <f>IFERROR(__xludf.DUMMYFUNCTION("GOOGLETRANSLATE(A894,""ko"",""en"")"),"More and more")</f>
        <v>More and more</v>
      </c>
    </row>
    <row r="895">
      <c r="A895" s="1" t="s">
        <v>895</v>
      </c>
      <c r="B895" s="2" t="str">
        <f>IFERROR(__xludf.DUMMYFUNCTION("GOOGLETRANSLATE(A895,""ko"",""en"")"),"question")</f>
        <v>question</v>
      </c>
    </row>
    <row r="896">
      <c r="A896" s="1" t="s">
        <v>896</v>
      </c>
      <c r="B896" s="2" t="str">
        <f>IFERROR(__xludf.DUMMYFUNCTION("GOOGLETRANSLATE(A896,""ko"",""en"")"),"exception")</f>
        <v>exception</v>
      </c>
    </row>
    <row r="897">
      <c r="A897" s="1" t="s">
        <v>897</v>
      </c>
      <c r="B897" s="2" t="str">
        <f>IFERROR(__xludf.DUMMYFUNCTION("GOOGLETRANSLATE(A897,""ko"",""en"")"),"judgment")</f>
        <v>judgment</v>
      </c>
    </row>
    <row r="898">
      <c r="A898" s="1" t="s">
        <v>898</v>
      </c>
      <c r="B898" s="2" t="str">
        <f>IFERROR(__xludf.DUMMYFUNCTION("GOOGLETRANSLATE(A898,""ko"",""en"")"),"solve")</f>
        <v>solve</v>
      </c>
    </row>
    <row r="899">
      <c r="A899" s="1" t="s">
        <v>899</v>
      </c>
      <c r="B899" s="2" t="str">
        <f>IFERROR(__xludf.DUMMYFUNCTION("GOOGLETRANSLATE(A899,""ko"",""en"")"),"Continue")</f>
        <v>Continue</v>
      </c>
    </row>
    <row r="900">
      <c r="A900" s="1" t="s">
        <v>900</v>
      </c>
      <c r="B900" s="2" t="str">
        <f>IFERROR(__xludf.DUMMYFUNCTION("GOOGLETRANSLATE(A900,""ko"",""en"")"),"stop")</f>
        <v>stop</v>
      </c>
    </row>
    <row r="901">
      <c r="A901" s="1" t="s">
        <v>901</v>
      </c>
      <c r="B901" s="2" t="str">
        <f>IFERROR(__xludf.DUMMYFUNCTION("GOOGLETRANSLATE(A901,""ko"",""en"")"),"around")</f>
        <v>around</v>
      </c>
    </row>
    <row r="902">
      <c r="A902" s="1" t="s">
        <v>902</v>
      </c>
      <c r="B902" s="2" t="str">
        <f>IFERROR(__xludf.DUMMYFUNCTION("GOOGLETRANSLATE(A902,""ko"",""en"")"),"So much")</f>
        <v>So much</v>
      </c>
    </row>
    <row r="903">
      <c r="A903" s="1" t="s">
        <v>903</v>
      </c>
      <c r="B903" s="2" t="str">
        <f>IFERROR(__xludf.DUMMYFUNCTION("GOOGLETRANSLATE(A903,""ko"",""en"")"),"heighten")</f>
        <v>heighten</v>
      </c>
    </row>
    <row r="904">
      <c r="A904" s="1" t="s">
        <v>904</v>
      </c>
      <c r="B904" s="2" t="str">
        <f>IFERROR(__xludf.DUMMYFUNCTION("GOOGLETRANSLATE(A904,""ko"",""en"")"),"negative")</f>
        <v>negative</v>
      </c>
    </row>
    <row r="905">
      <c r="A905" s="1" t="s">
        <v>905</v>
      </c>
      <c r="B905" s="2" t="str">
        <f>IFERROR(__xludf.DUMMYFUNCTION("GOOGLETRANSLATE(A905,""ko"",""en"")"),"circumstances")</f>
        <v>circumstances</v>
      </c>
    </row>
    <row r="906">
      <c r="A906" s="1" t="s">
        <v>906</v>
      </c>
      <c r="B906" s="2" t="str">
        <f>IFERROR(__xludf.DUMMYFUNCTION("GOOGLETRANSLATE(A906,""ko"",""en"")"),"earthly")</f>
        <v>earthly</v>
      </c>
    </row>
    <row r="907">
      <c r="A907" s="1" t="s">
        <v>907</v>
      </c>
      <c r="B907" s="2" t="str">
        <f>IFERROR(__xludf.DUMMYFUNCTION("GOOGLETRANSLATE(A907,""ko"",""en"")"),"parents")</f>
        <v>parents</v>
      </c>
    </row>
    <row r="908">
      <c r="A908" s="1" t="s">
        <v>908</v>
      </c>
      <c r="B908" s="2" t="str">
        <f>IFERROR(__xludf.DUMMYFUNCTION("GOOGLETRANSLATE(A908,""ko"",""en"")"),"export")</f>
        <v>export</v>
      </c>
    </row>
    <row r="909">
      <c r="A909" s="1" t="s">
        <v>909</v>
      </c>
      <c r="B909" s="2" t="str">
        <f>IFERROR(__xludf.DUMMYFUNCTION("GOOGLETRANSLATE(A909,""ko"",""en"")"),"that")</f>
        <v>that</v>
      </c>
    </row>
    <row r="910">
      <c r="A910" s="1" t="s">
        <v>910</v>
      </c>
      <c r="B910" s="2" t="str">
        <f>IFERROR(__xludf.DUMMYFUNCTION("GOOGLETRANSLATE(A910,""ko"",""en"")"),"chop")</f>
        <v>chop</v>
      </c>
    </row>
    <row r="911">
      <c r="A911" s="1" t="s">
        <v>911</v>
      </c>
      <c r="B911" s="2" t="str">
        <f>IFERROR(__xludf.DUMMYFUNCTION("GOOGLETRANSLATE(A911,""ko"",""en"")"),"be accompanied")</f>
        <v>be accompanied</v>
      </c>
    </row>
    <row r="912">
      <c r="A912" s="1" t="s">
        <v>912</v>
      </c>
      <c r="B912" s="2" t="str">
        <f>IFERROR(__xludf.DUMMYFUNCTION("GOOGLETRANSLATE(A912,""ko"",""en"")"),"number of animals")</f>
        <v>number of animals</v>
      </c>
    </row>
    <row r="913">
      <c r="A913" s="1" t="s">
        <v>913</v>
      </c>
      <c r="B913" s="2" t="str">
        <f>IFERROR(__xludf.DUMMYFUNCTION("GOOGLETRANSLATE(A913,""ko"",""en"")"),"Very much")</f>
        <v>Very much</v>
      </c>
    </row>
    <row r="914">
      <c r="A914" s="1" t="s">
        <v>914</v>
      </c>
      <c r="B914" s="2" t="str">
        <f>IFERROR(__xludf.DUMMYFUNCTION("GOOGLETRANSLATE(A914,""ko"",""en"")"),"expense")</f>
        <v>expense</v>
      </c>
    </row>
    <row r="915">
      <c r="A915" s="1" t="s">
        <v>915</v>
      </c>
      <c r="B915" s="2" t="str">
        <f>IFERROR(__xludf.DUMMYFUNCTION("GOOGLETRANSLATE(A915,""ko"",""en"")"),"airplane")</f>
        <v>airplane</v>
      </c>
    </row>
    <row r="916">
      <c r="A916" s="1" t="s">
        <v>916</v>
      </c>
      <c r="B916" s="2" t="str">
        <f>IFERROR(__xludf.DUMMYFUNCTION("GOOGLETRANSLATE(A916,""ko"",""en"")"),"be right")</f>
        <v>be right</v>
      </c>
    </row>
    <row r="917">
      <c r="A917" s="1" t="s">
        <v>917</v>
      </c>
      <c r="B917" s="2" t="str">
        <f>IFERROR(__xludf.DUMMYFUNCTION("GOOGLETRANSLATE(A917,""ko"",""en"")"),"usually")</f>
        <v>usually</v>
      </c>
    </row>
    <row r="918">
      <c r="A918" s="1" t="s">
        <v>918</v>
      </c>
      <c r="B918" s="2" t="str">
        <f>IFERROR(__xludf.DUMMYFUNCTION("GOOGLETRANSLATE(A918,""ko"",""en"")"),"treatment")</f>
        <v>treatment</v>
      </c>
    </row>
    <row r="919">
      <c r="A919" s="1" t="s">
        <v>919</v>
      </c>
      <c r="B919" s="2" t="str">
        <f>IFERROR(__xludf.DUMMYFUNCTION("GOOGLETRANSLATE(A919,""ko"",""en"")"),"the first")</f>
        <v>the first</v>
      </c>
    </row>
    <row r="920">
      <c r="A920" s="1" t="s">
        <v>920</v>
      </c>
      <c r="B920" s="2" t="str">
        <f>IFERROR(__xludf.DUMMYFUNCTION("GOOGLETRANSLATE(A920,""ko"",""en"")"),"form")</f>
        <v>form</v>
      </c>
    </row>
    <row r="921">
      <c r="A921" s="1" t="s">
        <v>921</v>
      </c>
      <c r="B921" s="2" t="str">
        <f>IFERROR(__xludf.DUMMYFUNCTION("GOOGLETRANSLATE(A921,""ko"",""en"")"),"play")</f>
        <v>play</v>
      </c>
    </row>
    <row r="922">
      <c r="A922" s="1" t="s">
        <v>922</v>
      </c>
      <c r="B922" s="2" t="str">
        <f>IFERROR(__xludf.DUMMYFUNCTION("GOOGLETRANSLATE(A922,""ko"",""en"")"),"It's hot")</f>
        <v>It's hot</v>
      </c>
    </row>
    <row r="923">
      <c r="A923" s="1" t="s">
        <v>923</v>
      </c>
      <c r="B923" s="2" t="str">
        <f>IFERROR(__xludf.DUMMYFUNCTION("GOOGLETRANSLATE(A923,""ko"",""en"")"),"root")</f>
        <v>root</v>
      </c>
    </row>
    <row r="924">
      <c r="A924" s="1" t="s">
        <v>924</v>
      </c>
      <c r="B924" s="2" t="str">
        <f>IFERROR(__xludf.DUMMYFUNCTION("GOOGLETRANSLATE(A924,""ko"",""en"")"),"So")</f>
        <v>So</v>
      </c>
    </row>
    <row r="925">
      <c r="A925" s="1" t="s">
        <v>925</v>
      </c>
      <c r="B925" s="2" t="str">
        <f>IFERROR(__xludf.DUMMYFUNCTION("GOOGLETRANSLATE(A925,""ko"",""en"")"),"afternoon")</f>
        <v>afternoon</v>
      </c>
    </row>
    <row r="926">
      <c r="A926" s="1" t="s">
        <v>926</v>
      </c>
      <c r="B926" s="2" t="str">
        <f>IFERROR(__xludf.DUMMYFUNCTION("GOOGLETRANSLATE(A926,""ko"",""en"")"),"early")</f>
        <v>early</v>
      </c>
    </row>
    <row r="927">
      <c r="A927" s="1" t="s">
        <v>927</v>
      </c>
      <c r="B927" s="2" t="str">
        <f>IFERROR(__xludf.DUMMYFUNCTION("GOOGLETRANSLATE(A927,""ko"",""en"")"),"employee")</f>
        <v>employee</v>
      </c>
    </row>
    <row r="928">
      <c r="A928" s="1" t="s">
        <v>928</v>
      </c>
      <c r="B928" s="2" t="str">
        <f>IFERROR(__xludf.DUMMYFUNCTION("GOOGLETRANSLATE(A928,""ko"",""en"")"),"hew")</f>
        <v>hew</v>
      </c>
    </row>
    <row r="929">
      <c r="A929" s="1" t="s">
        <v>929</v>
      </c>
      <c r="B929" s="2" t="str">
        <f>IFERROR(__xludf.DUMMYFUNCTION("GOOGLETRANSLATE(A929,""ko"",""en"")"),"It's light")</f>
        <v>It's light</v>
      </c>
    </row>
    <row r="930">
      <c r="A930" s="1" t="s">
        <v>930</v>
      </c>
      <c r="B930" s="2" t="str">
        <f>IFERROR(__xludf.DUMMYFUNCTION("GOOGLETRANSLATE(A930,""ko"",""en"")"),"interior")</f>
        <v>interior</v>
      </c>
    </row>
    <row r="931">
      <c r="A931" s="1" t="s">
        <v>931</v>
      </c>
      <c r="B931" s="2" t="str">
        <f>IFERROR(__xludf.DUMMYFUNCTION("GOOGLETRANSLATE(A931,""ko"",""en"")"),"some")</f>
        <v>some</v>
      </c>
    </row>
    <row r="932">
      <c r="A932" s="1" t="s">
        <v>932</v>
      </c>
      <c r="B932" s="2" t="str">
        <f>IFERROR(__xludf.DUMMYFUNCTION("GOOGLETRANSLATE(A932,""ko"",""en"")"),"opponent")</f>
        <v>opponent</v>
      </c>
    </row>
    <row r="933">
      <c r="A933" s="1" t="s">
        <v>933</v>
      </c>
      <c r="B933" s="2" t="str">
        <f>IFERROR(__xludf.DUMMYFUNCTION("GOOGLETRANSLATE(A933,""ko"",""en"")"),"morning")</f>
        <v>morning</v>
      </c>
    </row>
    <row r="934">
      <c r="A934" s="1" t="s">
        <v>934</v>
      </c>
      <c r="B934" s="2" t="str">
        <f>IFERROR(__xludf.DUMMYFUNCTION("GOOGLETRANSLATE(A934,""ko"",""en"")"),"skin")</f>
        <v>skin</v>
      </c>
    </row>
    <row r="935">
      <c r="A935" s="1" t="s">
        <v>935</v>
      </c>
      <c r="B935" s="2" t="str">
        <f>IFERROR(__xludf.DUMMYFUNCTION("GOOGLETRANSLATE(A935,""ko"",""en"")"),"store")</f>
        <v>store</v>
      </c>
    </row>
    <row r="936">
      <c r="A936" s="1" t="s">
        <v>936</v>
      </c>
      <c r="B936" s="2" t="str">
        <f>IFERROR(__xludf.DUMMYFUNCTION("GOOGLETRANSLATE(A936,""ko"",""en"")"),"full")</f>
        <v>full</v>
      </c>
    </row>
    <row r="937">
      <c r="A937" s="1" t="s">
        <v>937</v>
      </c>
      <c r="B937" s="2" t="str">
        <f>IFERROR(__xludf.DUMMYFUNCTION("GOOGLETRANSLATE(A937,""ko"",""en"")"),"just")</f>
        <v>just</v>
      </c>
    </row>
    <row r="938">
      <c r="A938" s="1" t="s">
        <v>938</v>
      </c>
      <c r="B938" s="2" t="str">
        <f>IFERROR(__xludf.DUMMYFUNCTION("GOOGLETRANSLATE(A938,""ko"",""en"")"),"wall")</f>
        <v>wall</v>
      </c>
    </row>
    <row r="939">
      <c r="A939" s="1" t="s">
        <v>939</v>
      </c>
      <c r="B939" s="2" t="str">
        <f>IFERROR(__xludf.DUMMYFUNCTION("GOOGLETRANSLATE(A939,""ko"",""en"")"),"warlord")</f>
        <v>warlord</v>
      </c>
    </row>
    <row r="940">
      <c r="A940" s="1" t="s">
        <v>940</v>
      </c>
      <c r="B940" s="2" t="str">
        <f>IFERROR(__xludf.DUMMYFUNCTION("GOOGLETRANSLATE(A940,""ko"",""en"")"),"trade")</f>
        <v>trade</v>
      </c>
    </row>
    <row r="941">
      <c r="A941" s="1" t="s">
        <v>941</v>
      </c>
      <c r="B941" s="2" t="str">
        <f>IFERROR(__xludf.DUMMYFUNCTION("GOOGLETRANSLATE(A941,""ko"",""en"")"),"burden")</f>
        <v>burden</v>
      </c>
    </row>
    <row r="942">
      <c r="A942" s="1" t="s">
        <v>942</v>
      </c>
      <c r="B942" s="2" t="str">
        <f>IFERROR(__xludf.DUMMYFUNCTION("GOOGLETRANSLATE(A942,""ko"",""en"")"),"promise")</f>
        <v>promise</v>
      </c>
    </row>
    <row r="943">
      <c r="A943" s="1" t="s">
        <v>943</v>
      </c>
      <c r="B943" s="2" t="str">
        <f>IFERROR(__xludf.DUMMYFUNCTION("GOOGLETRANSLATE(A943,""ko"",""en"")"),"line")</f>
        <v>line</v>
      </c>
    </row>
    <row r="944">
      <c r="A944" s="1" t="s">
        <v>944</v>
      </c>
      <c r="B944" s="2" t="str">
        <f>IFERROR(__xludf.DUMMYFUNCTION("GOOGLETRANSLATE(A944,""ko"",""en"")"),"Look up")</f>
        <v>Look up</v>
      </c>
    </row>
    <row r="945">
      <c r="A945" s="1" t="s">
        <v>945</v>
      </c>
      <c r="B945" s="2" t="str">
        <f>IFERROR(__xludf.DUMMYFUNCTION("GOOGLETRANSLATE(A945,""ko"",""en"")"),"enough")</f>
        <v>enough</v>
      </c>
    </row>
    <row r="946">
      <c r="A946" s="1" t="s">
        <v>946</v>
      </c>
      <c r="B946" s="2" t="str">
        <f>IFERROR(__xludf.DUMMYFUNCTION("GOOGLETRANSLATE(A946,""ko"",""en"")"),"body")</f>
        <v>body</v>
      </c>
    </row>
    <row r="947">
      <c r="A947" s="1" t="s">
        <v>947</v>
      </c>
      <c r="B947" s="2" t="str">
        <f>IFERROR(__xludf.DUMMYFUNCTION("GOOGLETRANSLATE(A947,""ko"",""en"")"),"energy")</f>
        <v>energy</v>
      </c>
    </row>
    <row r="948">
      <c r="A948" s="1" t="s">
        <v>948</v>
      </c>
      <c r="B948" s="2" t="str">
        <f>IFERROR(__xludf.DUMMYFUNCTION("GOOGLETRANSLATE(A948,""ko"",""en"")"),"commissioner")</f>
        <v>commissioner</v>
      </c>
    </row>
    <row r="949">
      <c r="A949" s="1" t="s">
        <v>949</v>
      </c>
      <c r="B949" s="2" t="str">
        <f>IFERROR(__xludf.DUMMYFUNCTION("GOOGLETRANSLATE(A949,""ko"",""en"")"),"organize")</f>
        <v>organize</v>
      </c>
    </row>
    <row r="950">
      <c r="A950" s="1" t="s">
        <v>950</v>
      </c>
      <c r="B950" s="2" t="str">
        <f>IFERROR(__xludf.DUMMYFUNCTION("GOOGLETRANSLATE(A950,""ko"",""en"")"),"house management")</f>
        <v>house management</v>
      </c>
    </row>
    <row r="951">
      <c r="A951" s="1" t="s">
        <v>951</v>
      </c>
      <c r="B951" s="2" t="str">
        <f>IFERROR(__xludf.DUMMYFUNCTION("GOOGLETRANSLATE(A951,""ko"",""en"")"),"background")</f>
        <v>background</v>
      </c>
    </row>
    <row r="952">
      <c r="A952" s="1" t="s">
        <v>952</v>
      </c>
      <c r="B952" s="2" t="str">
        <f>IFERROR(__xludf.DUMMYFUNCTION("GOOGLETRANSLATE(A952,""ko"",""en"")"),"kill")</f>
        <v>kill</v>
      </c>
    </row>
    <row r="953">
      <c r="A953" s="1" t="s">
        <v>953</v>
      </c>
      <c r="B953" s="2" t="str">
        <f>IFERROR(__xludf.DUMMYFUNCTION("GOOGLETRANSLATE(A953,""ko"",""en"")"),"It's simple")</f>
        <v>It's simple</v>
      </c>
    </row>
    <row r="954">
      <c r="A954" s="1" t="s">
        <v>954</v>
      </c>
      <c r="B954" s="2" t="str">
        <f>IFERROR(__xludf.DUMMYFUNCTION("GOOGLETRANSLATE(A954,""ko"",""en"")"),"the opposite")</f>
        <v>the opposite</v>
      </c>
    </row>
    <row r="955">
      <c r="A955" s="1" t="s">
        <v>955</v>
      </c>
      <c r="B955" s="2" t="str">
        <f>IFERROR(__xludf.DUMMYFUNCTION("GOOGLETRANSLATE(A955,""ko"",""en"")"),"rule")</f>
        <v>rule</v>
      </c>
    </row>
    <row r="956">
      <c r="A956" s="1" t="s">
        <v>956</v>
      </c>
      <c r="B956" s="2" t="str">
        <f>IFERROR(__xludf.DUMMYFUNCTION("GOOGLETRANSLATE(A956,""ko"",""en"")"),"fall")</f>
        <v>fall</v>
      </c>
    </row>
    <row r="957">
      <c r="A957" s="1" t="s">
        <v>957</v>
      </c>
      <c r="B957" s="2" t="str">
        <f>IFERROR(__xludf.DUMMYFUNCTION("GOOGLETRANSLATE(A957,""ko"",""en"")"),"salt")</f>
        <v>salt</v>
      </c>
    </row>
    <row r="958">
      <c r="A958" s="1" t="s">
        <v>958</v>
      </c>
      <c r="B958" s="2" t="str">
        <f>IFERROR(__xludf.DUMMYFUNCTION("GOOGLETRANSLATE(A958,""ko"",""en"")"),"pollution")</f>
        <v>pollution</v>
      </c>
    </row>
    <row r="959">
      <c r="A959" s="1" t="s">
        <v>959</v>
      </c>
      <c r="B959" s="2" t="str">
        <f>IFERROR(__xludf.DUMMYFUNCTION("GOOGLETRANSLATE(A959,""ko"",""en"")"),"bicycle")</f>
        <v>bicycle</v>
      </c>
    </row>
    <row r="960">
      <c r="A960" s="1" t="s">
        <v>960</v>
      </c>
      <c r="B960" s="2" t="str">
        <f>IFERROR(__xludf.DUMMYFUNCTION("GOOGLETRANSLATE(A960,""ko"",""en"")"),"participate")</f>
        <v>participate</v>
      </c>
    </row>
    <row r="961">
      <c r="A961" s="1" t="s">
        <v>961</v>
      </c>
      <c r="B961" s="2" t="str">
        <f>IFERROR(__xludf.DUMMYFUNCTION("GOOGLETRANSLATE(A961,""ko"",""en"")"),"fault")</f>
        <v>fault</v>
      </c>
    </row>
    <row r="962">
      <c r="A962" s="1" t="s">
        <v>962</v>
      </c>
      <c r="B962" s="2" t="str">
        <f>IFERROR(__xludf.DUMMYFUNCTION("GOOGLETRANSLATE(A962,""ko"",""en"")"),"Blue")</f>
        <v>Blue</v>
      </c>
    </row>
    <row r="963">
      <c r="A963" s="1" t="s">
        <v>963</v>
      </c>
      <c r="B963" s="2" t="str">
        <f>IFERROR(__xludf.DUMMYFUNCTION("GOOGLETRANSLATE(A963,""ko"",""en"")"),"okay")</f>
        <v>okay</v>
      </c>
    </row>
    <row r="964">
      <c r="A964" s="1" t="s">
        <v>964</v>
      </c>
      <c r="B964" s="2" t="str">
        <f>IFERROR(__xludf.DUMMYFUNCTION("GOOGLETRANSLATE(A964,""ko"",""en"")"),"neck")</f>
        <v>neck</v>
      </c>
    </row>
    <row r="965">
      <c r="A965" s="1" t="s">
        <v>965</v>
      </c>
      <c r="B965" s="2" t="str">
        <f>IFERROR(__xludf.DUMMYFUNCTION("GOOGLETRANSLATE(A965,""ko"",""en"")"),"presentation")</f>
        <v>presentation</v>
      </c>
    </row>
    <row r="966">
      <c r="A966" s="1" t="s">
        <v>966</v>
      </c>
      <c r="B966" s="2" t="str">
        <f>IFERROR(__xludf.DUMMYFUNCTION("GOOGLETRANSLATE(A966,""ko"",""en"")"),"crime")</f>
        <v>crime</v>
      </c>
    </row>
    <row r="967">
      <c r="A967" s="1" t="s">
        <v>967</v>
      </c>
      <c r="B967" s="2" t="str">
        <f>IFERROR(__xludf.DUMMYFUNCTION("GOOGLETRANSLATE(A967,""ko"",""en"")"),"shake")</f>
        <v>shake</v>
      </c>
    </row>
    <row r="968">
      <c r="A968" s="1" t="s">
        <v>968</v>
      </c>
      <c r="B968" s="2" t="str">
        <f>IFERROR(__xludf.DUMMYFUNCTION("GOOGLETRANSLATE(A968,""ko"",""en"")"),"basic")</f>
        <v>basic</v>
      </c>
    </row>
    <row r="969">
      <c r="A969" s="1" t="s">
        <v>969</v>
      </c>
      <c r="B969" s="2" t="str">
        <f>IFERROR(__xludf.DUMMYFUNCTION("GOOGLETRANSLATE(A969,""ko"",""en"")"),"logic")</f>
        <v>logic</v>
      </c>
    </row>
    <row r="970">
      <c r="A970" s="1" t="s">
        <v>970</v>
      </c>
      <c r="B970" s="2" t="str">
        <f>IFERROR(__xludf.DUMMYFUNCTION("GOOGLETRANSLATE(A970,""ko"",""en"")"),"drama")</f>
        <v>drama</v>
      </c>
    </row>
    <row r="971">
      <c r="A971" s="1" t="s">
        <v>971</v>
      </c>
      <c r="B971" s="2" t="str">
        <f>IFERROR(__xludf.DUMMYFUNCTION("GOOGLETRANSLATE(A971,""ko"",""en"")"),"pull out")</f>
        <v>pull out</v>
      </c>
    </row>
    <row r="972">
      <c r="A972" s="1" t="s">
        <v>972</v>
      </c>
      <c r="B972" s="2" t="str">
        <f>IFERROR(__xludf.DUMMYFUNCTION("GOOGLETRANSLATE(A972,""ko"",""en"")"),"smoke")</f>
        <v>smoke</v>
      </c>
    </row>
    <row r="973">
      <c r="A973" s="1" t="s">
        <v>973</v>
      </c>
      <c r="B973" s="2" t="str">
        <f>IFERROR(__xludf.DUMMYFUNCTION("GOOGLETRANSLATE(A973,""ko"",""en"")"),"sense")</f>
        <v>sense</v>
      </c>
    </row>
    <row r="974">
      <c r="A974" s="1" t="s">
        <v>974</v>
      </c>
      <c r="B974" s="2" t="str">
        <f>IFERROR(__xludf.DUMMYFUNCTION("GOOGLETRANSLATE(A974,""ko"",""en"")"),"beforehand")</f>
        <v>beforehand</v>
      </c>
    </row>
    <row r="975">
      <c r="A975" s="1" t="s">
        <v>975</v>
      </c>
      <c r="B975" s="2" t="str">
        <f>IFERROR(__xludf.DUMMYFUNCTION("GOOGLETRANSLATE(A975,""ko"",""en"")"),"lack")</f>
        <v>lack</v>
      </c>
    </row>
    <row r="976">
      <c r="A976" s="1" t="s">
        <v>976</v>
      </c>
      <c r="B976" s="2" t="str">
        <f>IFERROR(__xludf.DUMMYFUNCTION("GOOGLETRANSLATE(A976,""ko"",""en"")"),"Us")</f>
        <v>Us</v>
      </c>
    </row>
    <row r="977">
      <c r="A977" s="1" t="s">
        <v>977</v>
      </c>
      <c r="B977" s="2" t="str">
        <f>IFERROR(__xludf.DUMMYFUNCTION("GOOGLETRANSLATE(A977,""ko"",""en"")"),"Progress")</f>
        <v>Progress</v>
      </c>
    </row>
    <row r="978">
      <c r="A978" s="1" t="s">
        <v>978</v>
      </c>
      <c r="B978" s="2" t="str">
        <f>IFERROR(__xludf.DUMMYFUNCTION("GOOGLETRANSLATE(A978,""ko"",""en"")"),"traffic")</f>
        <v>traffic</v>
      </c>
    </row>
    <row r="979">
      <c r="A979" s="1" t="s">
        <v>979</v>
      </c>
      <c r="B979" s="2" t="str">
        <f>IFERROR(__xludf.DUMMYFUNCTION("GOOGLETRANSLATE(A979,""ko"",""en"")"),"law")</f>
        <v>law</v>
      </c>
    </row>
    <row r="980">
      <c r="A980" s="1" t="s">
        <v>980</v>
      </c>
      <c r="B980" s="2" t="str">
        <f>IFERROR(__xludf.DUMMYFUNCTION("GOOGLETRANSLATE(A980,""ko"",""en"")"),"Long time")</f>
        <v>Long time</v>
      </c>
    </row>
    <row r="981">
      <c r="A981" s="1" t="s">
        <v>981</v>
      </c>
      <c r="B981" s="2" t="str">
        <f>IFERROR(__xludf.DUMMYFUNCTION("GOOGLETRANSLATE(A981,""ko"",""en"")"),"young people")</f>
        <v>young people</v>
      </c>
    </row>
    <row r="982">
      <c r="A982" s="1" t="s">
        <v>982</v>
      </c>
      <c r="B982" s="2" t="str">
        <f>IFERROR(__xludf.DUMMYFUNCTION("GOOGLETRANSLATE(A982,""ko"",""en"")"),"candidate")</f>
        <v>candidate</v>
      </c>
    </row>
    <row r="983">
      <c r="A983" s="1" t="s">
        <v>983</v>
      </c>
      <c r="B983" s="2" t="str">
        <f>IFERROR(__xludf.DUMMYFUNCTION("GOOGLETRANSLATE(A983,""ko"",""en"")"),"assignment")</f>
        <v>assignment</v>
      </c>
    </row>
    <row r="984">
      <c r="A984" s="1" t="s">
        <v>984</v>
      </c>
      <c r="B984" s="2" t="str">
        <f>IFERROR(__xludf.DUMMYFUNCTION("GOOGLETRANSLATE(A984,""ko"",""en"")"),"reason")</f>
        <v>reason</v>
      </c>
    </row>
    <row r="985">
      <c r="A985" s="1" t="s">
        <v>985</v>
      </c>
      <c r="B985" s="2" t="str">
        <f>IFERROR(__xludf.DUMMYFUNCTION("GOOGLETRANSLATE(A985,""ko"",""en"")"),"Record")</f>
        <v>Record</v>
      </c>
    </row>
    <row r="986">
      <c r="A986" s="1" t="s">
        <v>986</v>
      </c>
      <c r="B986" s="2" t="str">
        <f>IFERROR(__xludf.DUMMYFUNCTION("GOOGLETRANSLATE(A986,""ko"",""en"")"),"Approach")</f>
        <v>Approach</v>
      </c>
    </row>
    <row r="987">
      <c r="A987" s="1" t="s">
        <v>987</v>
      </c>
      <c r="B987" s="2" t="str">
        <f>IFERROR(__xludf.DUMMYFUNCTION("GOOGLETRANSLATE(A987,""ko"",""en"")"),"blow")</f>
        <v>blow</v>
      </c>
    </row>
    <row r="988">
      <c r="A988" s="1" t="s">
        <v>988</v>
      </c>
      <c r="B988" s="2" t="str">
        <f>IFERROR(__xludf.DUMMYFUNCTION("GOOGLETRANSLATE(A988,""ko"",""en"")"),"conduce")</f>
        <v>conduce</v>
      </c>
    </row>
    <row r="989">
      <c r="A989" s="1" t="s">
        <v>989</v>
      </c>
      <c r="B989" s="2" t="str">
        <f>IFERROR(__xludf.DUMMYFUNCTION("GOOGLETRANSLATE(A989,""ko"",""en"")"),"synthesis")</f>
        <v>synthesis</v>
      </c>
    </row>
    <row r="990">
      <c r="A990" s="1" t="s">
        <v>990</v>
      </c>
      <c r="B990" s="2" t="str">
        <f>IFERROR(__xludf.DUMMYFUNCTION("GOOGLETRANSLATE(A990,""ko"",""en"")"),"korean")</f>
        <v>korean</v>
      </c>
    </row>
    <row r="991">
      <c r="A991" s="1" t="s">
        <v>991</v>
      </c>
      <c r="B991" s="2" t="str">
        <f>IFERROR(__xludf.DUMMYFUNCTION("GOOGLETRANSLATE(A991,""ko"",""en"")"),"autumn")</f>
        <v>autumn</v>
      </c>
    </row>
    <row r="992">
      <c r="A992" s="1" t="s">
        <v>992</v>
      </c>
      <c r="B992" s="2" t="str">
        <f>IFERROR(__xludf.DUMMYFUNCTION("GOOGLETRANSLATE(A992,""ko"",""en"")"),"Develop")</f>
        <v>Develop</v>
      </c>
    </row>
    <row r="993">
      <c r="A993" s="1" t="s">
        <v>993</v>
      </c>
      <c r="B993" s="2" t="str">
        <f>IFERROR(__xludf.DUMMYFUNCTION("GOOGLETRANSLATE(A993,""ko"",""en"")"),"shiver")</f>
        <v>shiver</v>
      </c>
    </row>
    <row r="994">
      <c r="A994" s="1" t="s">
        <v>994</v>
      </c>
      <c r="B994" s="2" t="str">
        <f>IFERROR(__xludf.DUMMYFUNCTION("GOOGLETRANSLATE(A994,""ko"",""en"")"),"finger")</f>
        <v>finger</v>
      </c>
    </row>
    <row r="995">
      <c r="A995" s="1" t="s">
        <v>995</v>
      </c>
      <c r="B995" s="2" t="str">
        <f>IFERROR(__xludf.DUMMYFUNCTION("GOOGLETRANSLATE(A995,""ko"",""en"")"),"method")</f>
        <v>method</v>
      </c>
    </row>
    <row r="996">
      <c r="A996" s="1" t="s">
        <v>996</v>
      </c>
      <c r="B996" s="2" t="str">
        <f>IFERROR(__xludf.DUMMYFUNCTION("GOOGLETRANSLATE(A996,""ko"",""en"")"),"Free")</f>
        <v>Free</v>
      </c>
    </row>
    <row r="997">
      <c r="A997" s="1" t="s">
        <v>997</v>
      </c>
      <c r="B997" s="2" t="str">
        <f>IFERROR(__xludf.DUMMYFUNCTION("GOOGLETRANSLATE(A997,""ko"",""en"")"),"Active")</f>
        <v>Active</v>
      </c>
    </row>
    <row r="998">
      <c r="A998" s="1" t="s">
        <v>998</v>
      </c>
      <c r="B998" s="2" t="str">
        <f>IFERROR(__xludf.DUMMYFUNCTION("GOOGLETRANSLATE(A998,""ko"",""en"")"),"sale")</f>
        <v>sale</v>
      </c>
    </row>
    <row r="999">
      <c r="A999" s="1" t="s">
        <v>999</v>
      </c>
      <c r="B999" s="2" t="str">
        <f>IFERROR(__xludf.DUMMYFUNCTION("GOOGLETRANSLATE(A999,""ko"",""en"")"),"forming")</f>
        <v>forming</v>
      </c>
    </row>
    <row r="1000">
      <c r="A1000" s="1" t="s">
        <v>1000</v>
      </c>
      <c r="B1000" s="2" t="str">
        <f>IFERROR(__xludf.DUMMYFUNCTION("GOOGLETRANSLATE(A1000,""ko"",""en"")"),"tilt")</f>
        <v>tilt</v>
      </c>
    </row>
    <row r="1001">
      <c r="A1001" s="1" t="s">
        <v>1001</v>
      </c>
      <c r="B1001" s="2" t="str">
        <f>IFERROR(__xludf.DUMMYFUNCTION("GOOGLETRANSLATE(A1001,""ko"",""en"")"),"length")</f>
        <v>length</v>
      </c>
    </row>
  </sheetData>
  <drawing r:id="rId1"/>
</worksheet>
</file>